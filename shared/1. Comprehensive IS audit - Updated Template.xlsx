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D:\PYTHON_PROJECTS\INDIAN BANK\cl_to_cl_review\data\"/>
    </mc:Choice>
  </mc:AlternateContent>
  <xr:revisionPtr revIDLastSave="0" documentId="13_ncr:1_{C3F9C2E6-7E58-425B-84C1-7589292DE8A2}" xr6:coauthVersionLast="47" xr6:coauthVersionMax="47" xr10:uidLastSave="{00000000-0000-0000-0000-000000000000}"/>
  <bookViews>
    <workbookView xWindow="-110" yWindow="-110" windowWidth="19420" windowHeight="10420" tabRatio="500" xr2:uid="{00000000-000D-0000-FFFF-FFFF00000000}"/>
  </bookViews>
  <sheets>
    <sheet name="Master Checklist" sheetId="1" r:id="rId1"/>
  </sheets>
  <definedNames>
    <definedName name="_xlnm._FilterDatabase" localSheetId="0" hidden="1">'Master Checklist'!$A$1:$AM$317</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 xmlns:loext="http://schemas.libreoffice.org/" uri="{7626C862-2A13-11E5-B345-FEFF819CDC9F}">
      <loext:extCalcPr stringRefSyntax="ExcelA1"/>
    </ext>
  </extLst>
</workbook>
</file>

<file path=xl/calcChain.xml><?xml version="1.0" encoding="utf-8"?>
<calcChain xmlns="http://schemas.openxmlformats.org/spreadsheetml/2006/main">
  <c r="X202" i="1" l="1"/>
  <c r="AD202" i="1" s="1"/>
  <c r="AB202" i="1"/>
  <c r="AC202" i="1" s="1"/>
  <c r="AM202" i="1"/>
  <c r="X203" i="1"/>
  <c r="AE203" i="1" s="1"/>
  <c r="AB203" i="1"/>
  <c r="AC203" i="1" s="1"/>
  <c r="AM203" i="1"/>
  <c r="X204" i="1"/>
  <c r="AE204" i="1" s="1"/>
  <c r="AB204" i="1"/>
  <c r="AC204" i="1" s="1"/>
  <c r="AD204" i="1"/>
  <c r="AM204" i="1"/>
  <c r="X205" i="1"/>
  <c r="AD205" i="1" s="1"/>
  <c r="AB205" i="1"/>
  <c r="AC205" i="1" s="1"/>
  <c r="AM205" i="1"/>
  <c r="X206" i="1"/>
  <c r="AD206" i="1" s="1"/>
  <c r="AB206" i="1"/>
  <c r="AC206" i="1" s="1"/>
  <c r="AM206" i="1"/>
  <c r="X207" i="1"/>
  <c r="AE207" i="1" s="1"/>
  <c r="AB207" i="1"/>
  <c r="AC207" i="1" s="1"/>
  <c r="AM207" i="1"/>
  <c r="X208" i="1"/>
  <c r="AE208" i="1" s="1"/>
  <c r="AB208" i="1"/>
  <c r="AC208" i="1" s="1"/>
  <c r="AM208" i="1"/>
  <c r="X209" i="1"/>
  <c r="AE209" i="1" s="1"/>
  <c r="AB209" i="1"/>
  <c r="AC209" i="1" s="1"/>
  <c r="AM209" i="1"/>
  <c r="X210" i="1"/>
  <c r="AD210" i="1" s="1"/>
  <c r="AB210" i="1"/>
  <c r="AC210" i="1" s="1"/>
  <c r="AM210" i="1"/>
  <c r="X211" i="1"/>
  <c r="AE211" i="1" s="1"/>
  <c r="AB211" i="1"/>
  <c r="AC211" i="1" s="1"/>
  <c r="AD211" i="1"/>
  <c r="AM211" i="1"/>
  <c r="X212" i="1"/>
  <c r="AE212" i="1" s="1"/>
  <c r="AB212" i="1"/>
  <c r="AC212" i="1" s="1"/>
  <c r="AM212" i="1"/>
  <c r="X213" i="1"/>
  <c r="AB213" i="1"/>
  <c r="AC213" i="1" s="1"/>
  <c r="AD213" i="1"/>
  <c r="AE213" i="1"/>
  <c r="AM213" i="1"/>
  <c r="X214" i="1"/>
  <c r="AE214" i="1" s="1"/>
  <c r="AB214" i="1"/>
  <c r="AC214" i="1" s="1"/>
  <c r="AM214" i="1"/>
  <c r="X215" i="1"/>
  <c r="AE215" i="1" s="1"/>
  <c r="AB215" i="1"/>
  <c r="AC215" i="1" s="1"/>
  <c r="AM215" i="1"/>
  <c r="X216" i="1"/>
  <c r="AE216" i="1" s="1"/>
  <c r="AB216" i="1"/>
  <c r="AC216" i="1" s="1"/>
  <c r="AM216" i="1"/>
  <c r="X217" i="1"/>
  <c r="AD217" i="1" s="1"/>
  <c r="AB217" i="1"/>
  <c r="AC217" i="1" s="1"/>
  <c r="AM217" i="1"/>
  <c r="X218" i="1"/>
  <c r="AD218" i="1" s="1"/>
  <c r="AB218" i="1"/>
  <c r="AC218" i="1" s="1"/>
  <c r="AM218" i="1"/>
  <c r="X219" i="1"/>
  <c r="AE219" i="1" s="1"/>
  <c r="AB219" i="1"/>
  <c r="AC219" i="1" s="1"/>
  <c r="AM219" i="1"/>
  <c r="X220" i="1"/>
  <c r="AE220" i="1" s="1"/>
  <c r="AB220" i="1"/>
  <c r="AC220" i="1" s="1"/>
  <c r="AD220" i="1"/>
  <c r="AM220" i="1"/>
  <c r="X221" i="1"/>
  <c r="AD221" i="1" s="1"/>
  <c r="AB221" i="1"/>
  <c r="AC221" i="1" s="1"/>
  <c r="AM221" i="1"/>
  <c r="X222" i="1"/>
  <c r="AD222" i="1" s="1"/>
  <c r="AB222" i="1"/>
  <c r="AC222" i="1" s="1"/>
  <c r="AM222" i="1"/>
  <c r="X223" i="1"/>
  <c r="AE223" i="1" s="1"/>
  <c r="AB223" i="1"/>
  <c r="AC223" i="1" s="1"/>
  <c r="AM223" i="1"/>
  <c r="X224" i="1"/>
  <c r="AE224" i="1" s="1"/>
  <c r="AB224" i="1"/>
  <c r="AC224" i="1" s="1"/>
  <c r="AM224" i="1"/>
  <c r="X225" i="1"/>
  <c r="AE225" i="1" s="1"/>
  <c r="AB225" i="1"/>
  <c r="AC225" i="1" s="1"/>
  <c r="AM225" i="1"/>
  <c r="X226" i="1"/>
  <c r="AD226" i="1" s="1"/>
  <c r="AB226" i="1"/>
  <c r="AC226" i="1" s="1"/>
  <c r="AM226" i="1"/>
  <c r="X227" i="1"/>
  <c r="AE227" i="1" s="1"/>
  <c r="AB227" i="1"/>
  <c r="AC227" i="1" s="1"/>
  <c r="AM227" i="1"/>
  <c r="X228" i="1"/>
  <c r="AE228" i="1" s="1"/>
  <c r="AB228" i="1"/>
  <c r="AC228" i="1" s="1"/>
  <c r="AM228" i="1"/>
  <c r="X229" i="1"/>
  <c r="AD229" i="1" s="1"/>
  <c r="AB229" i="1"/>
  <c r="AC229" i="1" s="1"/>
  <c r="AM229" i="1"/>
  <c r="X230" i="1"/>
  <c r="AE230" i="1" s="1"/>
  <c r="AB230" i="1"/>
  <c r="AC230" i="1" s="1"/>
  <c r="AM230" i="1"/>
  <c r="X231" i="1"/>
  <c r="AE231" i="1" s="1"/>
  <c r="AB231" i="1"/>
  <c r="AC231" i="1" s="1"/>
  <c r="AM231" i="1"/>
  <c r="X232" i="1"/>
  <c r="AE232" i="1" s="1"/>
  <c r="AB232" i="1"/>
  <c r="AC232" i="1" s="1"/>
  <c r="AM232" i="1"/>
  <c r="X233" i="1"/>
  <c r="AD233" i="1" s="1"/>
  <c r="AB233" i="1"/>
  <c r="AC233" i="1" s="1"/>
  <c r="AM233" i="1"/>
  <c r="X234" i="1"/>
  <c r="AD234" i="1" s="1"/>
  <c r="AB234" i="1"/>
  <c r="AC234" i="1" s="1"/>
  <c r="AM234" i="1"/>
  <c r="X235" i="1"/>
  <c r="AE235" i="1" s="1"/>
  <c r="AB235" i="1"/>
  <c r="AC235" i="1" s="1"/>
  <c r="AM235" i="1"/>
  <c r="X236" i="1"/>
  <c r="AE236" i="1" s="1"/>
  <c r="AB236" i="1"/>
  <c r="AC236" i="1" s="1"/>
  <c r="AM236" i="1"/>
  <c r="X237" i="1"/>
  <c r="AD237" i="1" s="1"/>
  <c r="AB237" i="1"/>
  <c r="AC237" i="1" s="1"/>
  <c r="AE237" i="1"/>
  <c r="AM237" i="1"/>
  <c r="X238" i="1"/>
  <c r="AD238" i="1" s="1"/>
  <c r="AB238" i="1"/>
  <c r="AC238" i="1" s="1"/>
  <c r="AM238" i="1"/>
  <c r="X239" i="1"/>
  <c r="AE239" i="1" s="1"/>
  <c r="AB239" i="1"/>
  <c r="AC239" i="1" s="1"/>
  <c r="AM239" i="1"/>
  <c r="X240" i="1"/>
  <c r="AE240" i="1" s="1"/>
  <c r="AB240" i="1"/>
  <c r="AC240" i="1" s="1"/>
  <c r="AM240" i="1"/>
  <c r="X241" i="1"/>
  <c r="AE241" i="1" s="1"/>
  <c r="AB241" i="1"/>
  <c r="AC241" i="1" s="1"/>
  <c r="AM241" i="1"/>
  <c r="X242" i="1"/>
  <c r="AD242" i="1" s="1"/>
  <c r="AB242" i="1"/>
  <c r="AC242" i="1" s="1"/>
  <c r="AE242" i="1"/>
  <c r="AM242" i="1"/>
  <c r="X243" i="1"/>
  <c r="AE243" i="1" s="1"/>
  <c r="AB243" i="1"/>
  <c r="AC243" i="1" s="1"/>
  <c r="AM243" i="1"/>
  <c r="X244" i="1"/>
  <c r="AE244" i="1" s="1"/>
  <c r="AB244" i="1"/>
  <c r="AC244" i="1" s="1"/>
  <c r="AD244" i="1"/>
  <c r="AM244" i="1"/>
  <c r="X245" i="1"/>
  <c r="AD245" i="1" s="1"/>
  <c r="AB245" i="1"/>
  <c r="AC245" i="1" s="1"/>
  <c r="AM245" i="1"/>
  <c r="X246" i="1"/>
  <c r="AE246" i="1" s="1"/>
  <c r="AB246" i="1"/>
  <c r="AC246" i="1" s="1"/>
  <c r="AD246" i="1"/>
  <c r="AM246" i="1"/>
  <c r="X247" i="1"/>
  <c r="AE247" i="1" s="1"/>
  <c r="AB247" i="1"/>
  <c r="AC247" i="1" s="1"/>
  <c r="AM247" i="1"/>
  <c r="X248" i="1"/>
  <c r="AE248" i="1" s="1"/>
  <c r="AB248" i="1"/>
  <c r="AC248" i="1" s="1"/>
  <c r="AM248" i="1"/>
  <c r="X249" i="1"/>
  <c r="AD249" i="1" s="1"/>
  <c r="AB249" i="1"/>
  <c r="AC249" i="1" s="1"/>
  <c r="AM249" i="1"/>
  <c r="X250" i="1"/>
  <c r="AD250" i="1" s="1"/>
  <c r="AB250" i="1"/>
  <c r="AC250" i="1" s="1"/>
  <c r="AM250" i="1"/>
  <c r="X251" i="1"/>
  <c r="AE251" i="1" s="1"/>
  <c r="AB251" i="1"/>
  <c r="AC251" i="1" s="1"/>
  <c r="AM251" i="1"/>
  <c r="X252" i="1"/>
  <c r="AE252" i="1" s="1"/>
  <c r="AB252" i="1"/>
  <c r="AC252" i="1" s="1"/>
  <c r="AM252" i="1"/>
  <c r="X253" i="1"/>
  <c r="AD253" i="1" s="1"/>
  <c r="AB253" i="1"/>
  <c r="AC253" i="1" s="1"/>
  <c r="AM253" i="1"/>
  <c r="X254" i="1"/>
  <c r="AE254" i="1" s="1"/>
  <c r="AB254" i="1"/>
  <c r="AC254" i="1" s="1"/>
  <c r="AM254" i="1"/>
  <c r="X255" i="1"/>
  <c r="AE255" i="1" s="1"/>
  <c r="AB255" i="1"/>
  <c r="AC255" i="1" s="1"/>
  <c r="AM255" i="1"/>
  <c r="X256" i="1"/>
  <c r="AE256" i="1" s="1"/>
  <c r="AB256" i="1"/>
  <c r="AC256" i="1" s="1"/>
  <c r="AM256" i="1"/>
  <c r="X257" i="1"/>
  <c r="AE257" i="1" s="1"/>
  <c r="AB257" i="1"/>
  <c r="AC257" i="1" s="1"/>
  <c r="AM257" i="1"/>
  <c r="X258" i="1"/>
  <c r="AD258" i="1" s="1"/>
  <c r="AB258" i="1"/>
  <c r="AC258" i="1" s="1"/>
  <c r="AM258" i="1"/>
  <c r="X259" i="1"/>
  <c r="AE259" i="1" s="1"/>
  <c r="AB259" i="1"/>
  <c r="AC259" i="1" s="1"/>
  <c r="AD259" i="1"/>
  <c r="AM259" i="1"/>
  <c r="X260" i="1"/>
  <c r="AE260" i="1" s="1"/>
  <c r="AB260" i="1"/>
  <c r="AC260" i="1" s="1"/>
  <c r="AM260" i="1"/>
  <c r="X261" i="1"/>
  <c r="AB261" i="1"/>
  <c r="AC261" i="1" s="1"/>
  <c r="AD261" i="1"/>
  <c r="AE261" i="1"/>
  <c r="AM261" i="1"/>
  <c r="X262" i="1"/>
  <c r="AE262" i="1" s="1"/>
  <c r="AB262" i="1"/>
  <c r="AC262" i="1" s="1"/>
  <c r="AM262" i="1"/>
  <c r="X263" i="1"/>
  <c r="AE263" i="1" s="1"/>
  <c r="AB263" i="1"/>
  <c r="AC263" i="1" s="1"/>
  <c r="AD263" i="1"/>
  <c r="AM263" i="1"/>
  <c r="X264" i="1"/>
  <c r="AE264" i="1" s="1"/>
  <c r="AB264" i="1"/>
  <c r="AC264" i="1" s="1"/>
  <c r="AM264" i="1"/>
  <c r="X265" i="1"/>
  <c r="AB265" i="1"/>
  <c r="AC265" i="1" s="1"/>
  <c r="AD265" i="1"/>
  <c r="AE265" i="1"/>
  <c r="AM265" i="1"/>
  <c r="X266" i="1"/>
  <c r="AD266" i="1" s="1"/>
  <c r="AB266" i="1"/>
  <c r="AC266" i="1" s="1"/>
  <c r="AM266" i="1"/>
  <c r="X267" i="1"/>
  <c r="AE267" i="1" s="1"/>
  <c r="AB267" i="1"/>
  <c r="AC267" i="1" s="1"/>
  <c r="AD267" i="1"/>
  <c r="AM267" i="1"/>
  <c r="X268" i="1"/>
  <c r="AE268" i="1" s="1"/>
  <c r="AB268" i="1"/>
  <c r="AC268" i="1" s="1"/>
  <c r="AM268" i="1"/>
  <c r="X269" i="1"/>
  <c r="AD269" i="1" s="1"/>
  <c r="AB269" i="1"/>
  <c r="AC269" i="1" s="1"/>
  <c r="AE269" i="1"/>
  <c r="AM269" i="1"/>
  <c r="X270" i="1"/>
  <c r="AE270" i="1" s="1"/>
  <c r="AB270" i="1"/>
  <c r="AC270" i="1" s="1"/>
  <c r="AM270" i="1"/>
  <c r="X271" i="1"/>
  <c r="AE271" i="1" s="1"/>
  <c r="AB271" i="1"/>
  <c r="AC271" i="1" s="1"/>
  <c r="AM271" i="1"/>
  <c r="X272" i="1"/>
  <c r="AE272" i="1" s="1"/>
  <c r="AB272" i="1"/>
  <c r="AC272" i="1" s="1"/>
  <c r="AM272" i="1"/>
  <c r="X273" i="1"/>
  <c r="AE273" i="1" s="1"/>
  <c r="AB273" i="1"/>
  <c r="AC273" i="1" s="1"/>
  <c r="AM273" i="1"/>
  <c r="X274" i="1"/>
  <c r="AD274" i="1" s="1"/>
  <c r="AB274" i="1"/>
  <c r="AC274" i="1" s="1"/>
  <c r="AM274" i="1"/>
  <c r="X275" i="1"/>
  <c r="AE275" i="1" s="1"/>
  <c r="AB275" i="1"/>
  <c r="AC275" i="1" s="1"/>
  <c r="AM275" i="1"/>
  <c r="X276" i="1"/>
  <c r="AE276" i="1" s="1"/>
  <c r="AB276" i="1"/>
  <c r="AC276" i="1" s="1"/>
  <c r="AD276" i="1"/>
  <c r="AM276" i="1"/>
  <c r="X277" i="1"/>
  <c r="AD277" i="1" s="1"/>
  <c r="AB277" i="1"/>
  <c r="AC277" i="1" s="1"/>
  <c r="AM277" i="1"/>
  <c r="X278" i="1"/>
  <c r="AB278" i="1"/>
  <c r="AC278" i="1" s="1"/>
  <c r="AD278" i="1"/>
  <c r="AE278" i="1"/>
  <c r="AM278" i="1"/>
  <c r="X279" i="1"/>
  <c r="AE279" i="1" s="1"/>
  <c r="AB279" i="1"/>
  <c r="AC279" i="1" s="1"/>
  <c r="AM279" i="1"/>
  <c r="X280" i="1"/>
  <c r="AE280" i="1" s="1"/>
  <c r="AB280" i="1"/>
  <c r="AC280" i="1" s="1"/>
  <c r="AM280" i="1"/>
  <c r="X281" i="1"/>
  <c r="AD281" i="1" s="1"/>
  <c r="AB281" i="1"/>
  <c r="AC281" i="1" s="1"/>
  <c r="AM281" i="1"/>
  <c r="X282" i="1"/>
  <c r="AD282" i="1" s="1"/>
  <c r="AB282" i="1"/>
  <c r="AC282" i="1" s="1"/>
  <c r="AM282" i="1"/>
  <c r="X283" i="1"/>
  <c r="AE283" i="1" s="1"/>
  <c r="AB283" i="1"/>
  <c r="AC283" i="1" s="1"/>
  <c r="AM283" i="1"/>
  <c r="X284" i="1"/>
  <c r="AE284" i="1" s="1"/>
  <c r="AB284" i="1"/>
  <c r="AC284" i="1" s="1"/>
  <c r="AM284" i="1"/>
  <c r="X285" i="1"/>
  <c r="AD285" i="1" s="1"/>
  <c r="AB285" i="1"/>
  <c r="AC285" i="1" s="1"/>
  <c r="AM285" i="1"/>
  <c r="X286" i="1"/>
  <c r="AE286" i="1" s="1"/>
  <c r="AB286" i="1"/>
  <c r="AC286" i="1" s="1"/>
  <c r="AD286" i="1"/>
  <c r="AM286" i="1"/>
  <c r="X287" i="1"/>
  <c r="AE287" i="1" s="1"/>
  <c r="AB287" i="1"/>
  <c r="AC287" i="1" s="1"/>
  <c r="AM287" i="1"/>
  <c r="X288" i="1"/>
  <c r="AE288" i="1" s="1"/>
  <c r="AB288" i="1"/>
  <c r="AC288" i="1" s="1"/>
  <c r="AM288" i="1"/>
  <c r="X289" i="1"/>
  <c r="AE289" i="1" s="1"/>
  <c r="AB289" i="1"/>
  <c r="AC289" i="1" s="1"/>
  <c r="AM289" i="1"/>
  <c r="X290" i="1"/>
  <c r="AD290" i="1" s="1"/>
  <c r="AB290" i="1"/>
  <c r="AC290" i="1" s="1"/>
  <c r="AM290" i="1"/>
  <c r="X291" i="1"/>
  <c r="AE291" i="1" s="1"/>
  <c r="AB291" i="1"/>
  <c r="AC291" i="1" s="1"/>
  <c r="AM291" i="1"/>
  <c r="X292" i="1"/>
  <c r="AE292" i="1" s="1"/>
  <c r="AB292" i="1"/>
  <c r="AC292" i="1" s="1"/>
  <c r="AM292" i="1"/>
  <c r="X293" i="1"/>
  <c r="AD293" i="1" s="1"/>
  <c r="AB293" i="1"/>
  <c r="AC293" i="1" s="1"/>
  <c r="AM293" i="1"/>
  <c r="X294" i="1"/>
  <c r="AD294" i="1" s="1"/>
  <c r="AB294" i="1"/>
  <c r="AC294" i="1" s="1"/>
  <c r="AM294" i="1"/>
  <c r="X295" i="1"/>
  <c r="AE295" i="1" s="1"/>
  <c r="AB295" i="1"/>
  <c r="AC295" i="1" s="1"/>
  <c r="AD295" i="1"/>
  <c r="AM295" i="1"/>
  <c r="X296" i="1"/>
  <c r="AE296" i="1" s="1"/>
  <c r="AB296" i="1"/>
  <c r="AC296" i="1" s="1"/>
  <c r="AM296" i="1"/>
  <c r="X297" i="1"/>
  <c r="AB297" i="1"/>
  <c r="AC297" i="1" s="1"/>
  <c r="AD297" i="1"/>
  <c r="AE297" i="1"/>
  <c r="AM297" i="1"/>
  <c r="X298" i="1"/>
  <c r="AD298" i="1" s="1"/>
  <c r="AB298" i="1"/>
  <c r="AC298" i="1" s="1"/>
  <c r="AM298" i="1"/>
  <c r="X299" i="1"/>
  <c r="AE299" i="1" s="1"/>
  <c r="AB299" i="1"/>
  <c r="AC299" i="1" s="1"/>
  <c r="AD299" i="1"/>
  <c r="AM299" i="1"/>
  <c r="X300" i="1"/>
  <c r="AE300" i="1" s="1"/>
  <c r="AB300" i="1"/>
  <c r="AC300" i="1" s="1"/>
  <c r="AM300" i="1"/>
  <c r="X301" i="1"/>
  <c r="AB301" i="1"/>
  <c r="AC301" i="1" s="1"/>
  <c r="AD301" i="1"/>
  <c r="AE301" i="1"/>
  <c r="AM301" i="1"/>
  <c r="X302" i="1"/>
  <c r="AE302" i="1" s="1"/>
  <c r="AB302" i="1"/>
  <c r="AC302" i="1" s="1"/>
  <c r="AM302" i="1"/>
  <c r="X303" i="1"/>
  <c r="AE303" i="1" s="1"/>
  <c r="AB303" i="1"/>
  <c r="AC303" i="1" s="1"/>
  <c r="AM303" i="1"/>
  <c r="X304" i="1"/>
  <c r="AE304" i="1" s="1"/>
  <c r="AB304" i="1"/>
  <c r="AC304" i="1" s="1"/>
  <c r="AM304" i="1"/>
  <c r="X305" i="1"/>
  <c r="AE305" i="1" s="1"/>
  <c r="AB305" i="1"/>
  <c r="AC305" i="1" s="1"/>
  <c r="AM305" i="1"/>
  <c r="X306" i="1"/>
  <c r="AD306" i="1" s="1"/>
  <c r="AB306" i="1"/>
  <c r="AC306" i="1" s="1"/>
  <c r="AM306" i="1"/>
  <c r="X307" i="1"/>
  <c r="AE307" i="1" s="1"/>
  <c r="AB307" i="1"/>
  <c r="AC307" i="1" s="1"/>
  <c r="AD307" i="1"/>
  <c r="AM307" i="1"/>
  <c r="X308" i="1"/>
  <c r="AE308" i="1" s="1"/>
  <c r="AB308" i="1"/>
  <c r="AC308" i="1" s="1"/>
  <c r="AM308" i="1"/>
  <c r="X309" i="1"/>
  <c r="AE309" i="1" s="1"/>
  <c r="AB309" i="1"/>
  <c r="AC309" i="1" s="1"/>
  <c r="AD309" i="1"/>
  <c r="AM309" i="1"/>
  <c r="X310" i="1"/>
  <c r="AD310" i="1" s="1"/>
  <c r="AB310" i="1"/>
  <c r="AC310" i="1" s="1"/>
  <c r="AM310" i="1"/>
  <c r="X311" i="1"/>
  <c r="AE311" i="1" s="1"/>
  <c r="AB311" i="1"/>
  <c r="AC311" i="1" s="1"/>
  <c r="AM311" i="1"/>
  <c r="X312" i="1"/>
  <c r="AE312" i="1" s="1"/>
  <c r="AB312" i="1"/>
  <c r="AC312" i="1" s="1"/>
  <c r="AM312" i="1"/>
  <c r="X313" i="1"/>
  <c r="AD313" i="1" s="1"/>
  <c r="AB313" i="1"/>
  <c r="AC313" i="1" s="1"/>
  <c r="AM313" i="1"/>
  <c r="X314" i="1"/>
  <c r="AD314" i="1" s="1"/>
  <c r="AB314" i="1"/>
  <c r="AC314" i="1" s="1"/>
  <c r="AE314" i="1"/>
  <c r="AM314" i="1"/>
  <c r="X315" i="1"/>
  <c r="AE315" i="1" s="1"/>
  <c r="AB315" i="1"/>
  <c r="AC315" i="1" s="1"/>
  <c r="AM315" i="1"/>
  <c r="X316" i="1"/>
  <c r="AE316" i="1" s="1"/>
  <c r="AB316" i="1"/>
  <c r="AC316" i="1" s="1"/>
  <c r="AD316" i="1"/>
  <c r="AM316" i="1"/>
  <c r="X317" i="1"/>
  <c r="AE317" i="1" s="1"/>
  <c r="AB317" i="1"/>
  <c r="AC317" i="1" s="1"/>
  <c r="AM317" i="1"/>
  <c r="AM201" i="1"/>
  <c r="AB201" i="1"/>
  <c r="AC201" i="1" s="1"/>
  <c r="X201" i="1"/>
  <c r="AE201" i="1" s="1"/>
  <c r="AM200" i="1"/>
  <c r="AB200" i="1"/>
  <c r="AC200" i="1" s="1"/>
  <c r="X200" i="1"/>
  <c r="AD200" i="1" s="1"/>
  <c r="AM199" i="1"/>
  <c r="AB199" i="1"/>
  <c r="AC199" i="1" s="1"/>
  <c r="X199" i="1"/>
  <c r="AE199" i="1" s="1"/>
  <c r="AM198" i="1"/>
  <c r="AB198" i="1"/>
  <c r="AC198" i="1" s="1"/>
  <c r="X198" i="1"/>
  <c r="AD198" i="1" s="1"/>
  <c r="AM197" i="1"/>
  <c r="AB197" i="1"/>
  <c r="AC197" i="1" s="1"/>
  <c r="X197" i="1"/>
  <c r="AE197" i="1" s="1"/>
  <c r="AM196" i="1"/>
  <c r="AB196" i="1"/>
  <c r="AC196" i="1" s="1"/>
  <c r="X196" i="1"/>
  <c r="AM195" i="1"/>
  <c r="AB195" i="1"/>
  <c r="AC195" i="1" s="1"/>
  <c r="X195" i="1"/>
  <c r="AE195" i="1" s="1"/>
  <c r="AM194" i="1"/>
  <c r="AB194" i="1"/>
  <c r="AC194" i="1" s="1"/>
  <c r="X194" i="1"/>
  <c r="AD194" i="1" s="1"/>
  <c r="AM193" i="1"/>
  <c r="AB193" i="1"/>
  <c r="AC193" i="1" s="1"/>
  <c r="X193" i="1"/>
  <c r="AE193" i="1" s="1"/>
  <c r="AM192" i="1"/>
  <c r="AB192" i="1"/>
  <c r="AC192" i="1" s="1"/>
  <c r="X192" i="1"/>
  <c r="AD192" i="1" s="1"/>
  <c r="AM191" i="1"/>
  <c r="AB191" i="1"/>
  <c r="AC191" i="1" s="1"/>
  <c r="X191" i="1"/>
  <c r="AE191" i="1" s="1"/>
  <c r="AM190" i="1"/>
  <c r="AB190" i="1"/>
  <c r="AC190" i="1" s="1"/>
  <c r="X190" i="1"/>
  <c r="AD190" i="1" s="1"/>
  <c r="AM189" i="1"/>
  <c r="AB189" i="1"/>
  <c r="AC189" i="1" s="1"/>
  <c r="X189" i="1"/>
  <c r="AE189" i="1" s="1"/>
  <c r="AM188" i="1"/>
  <c r="AB188" i="1"/>
  <c r="AC188" i="1" s="1"/>
  <c r="X188" i="1"/>
  <c r="AM187" i="1"/>
  <c r="AB187" i="1"/>
  <c r="AC187" i="1" s="1"/>
  <c r="X187" i="1"/>
  <c r="AE187" i="1" s="1"/>
  <c r="AM186" i="1"/>
  <c r="AB186" i="1"/>
  <c r="AC186" i="1" s="1"/>
  <c r="X186" i="1"/>
  <c r="AD186" i="1" s="1"/>
  <c r="AM185" i="1"/>
  <c r="AB185" i="1"/>
  <c r="AC185" i="1" s="1"/>
  <c r="X185" i="1"/>
  <c r="AE185" i="1" s="1"/>
  <c r="AM184" i="1"/>
  <c r="AB184" i="1"/>
  <c r="AC184" i="1" s="1"/>
  <c r="X184" i="1"/>
  <c r="AD184" i="1" s="1"/>
  <c r="AM183" i="1"/>
  <c r="AB183" i="1"/>
  <c r="AC183" i="1" s="1"/>
  <c r="X183" i="1"/>
  <c r="AE183" i="1" s="1"/>
  <c r="AM182" i="1"/>
  <c r="AB182" i="1"/>
  <c r="AC182" i="1" s="1"/>
  <c r="X182" i="1"/>
  <c r="AD182" i="1" s="1"/>
  <c r="AM181" i="1"/>
  <c r="AB181" i="1"/>
  <c r="AC181" i="1" s="1"/>
  <c r="X181" i="1"/>
  <c r="AE181" i="1" s="1"/>
  <c r="AM180" i="1"/>
  <c r="AB180" i="1"/>
  <c r="AC180" i="1" s="1"/>
  <c r="X180" i="1"/>
  <c r="AM179" i="1"/>
  <c r="AB179" i="1"/>
  <c r="AC179" i="1" s="1"/>
  <c r="X179" i="1"/>
  <c r="AE179" i="1" s="1"/>
  <c r="AM178" i="1"/>
  <c r="AB178" i="1"/>
  <c r="AC178" i="1" s="1"/>
  <c r="X178" i="1"/>
  <c r="AE178" i="1" s="1"/>
  <c r="AM177" i="1"/>
  <c r="AB177" i="1"/>
  <c r="AC177" i="1" s="1"/>
  <c r="X177" i="1"/>
  <c r="AE177" i="1" s="1"/>
  <c r="AM176" i="1"/>
  <c r="AB176" i="1"/>
  <c r="AC176" i="1" s="1"/>
  <c r="X176" i="1"/>
  <c r="AM175" i="1"/>
  <c r="AB175" i="1"/>
  <c r="AC175" i="1" s="1"/>
  <c r="X175" i="1"/>
  <c r="AE175" i="1" s="1"/>
  <c r="AM174" i="1"/>
  <c r="AB174" i="1"/>
  <c r="AC174" i="1" s="1"/>
  <c r="X174" i="1"/>
  <c r="AE174" i="1" s="1"/>
  <c r="AM173" i="1"/>
  <c r="AB173" i="1"/>
  <c r="AC173" i="1" s="1"/>
  <c r="X173" i="1"/>
  <c r="AE173" i="1" s="1"/>
  <c r="AM172" i="1"/>
  <c r="AB172" i="1"/>
  <c r="AC172" i="1" s="1"/>
  <c r="X172" i="1"/>
  <c r="AM171" i="1"/>
  <c r="AB171" i="1"/>
  <c r="AC171" i="1" s="1"/>
  <c r="X171" i="1"/>
  <c r="AE171" i="1" s="1"/>
  <c r="AM170" i="1"/>
  <c r="AB170" i="1"/>
  <c r="AC170" i="1" s="1"/>
  <c r="X170" i="1"/>
  <c r="AE170" i="1" s="1"/>
  <c r="AM169" i="1"/>
  <c r="AB169" i="1"/>
  <c r="AC169" i="1" s="1"/>
  <c r="X169" i="1"/>
  <c r="AE169" i="1" s="1"/>
  <c r="AM168" i="1"/>
  <c r="AB168" i="1"/>
  <c r="AC168" i="1" s="1"/>
  <c r="X168" i="1"/>
  <c r="AM167" i="1"/>
  <c r="AB167" i="1"/>
  <c r="AC167" i="1" s="1"/>
  <c r="X167" i="1"/>
  <c r="AE167" i="1" s="1"/>
  <c r="AM166" i="1"/>
  <c r="AB166" i="1"/>
  <c r="AC166" i="1" s="1"/>
  <c r="X166" i="1"/>
  <c r="AE166" i="1" s="1"/>
  <c r="AM165" i="1"/>
  <c r="AB165" i="1"/>
  <c r="AC165" i="1" s="1"/>
  <c r="X165" i="1"/>
  <c r="AE165" i="1" s="1"/>
  <c r="AM164" i="1"/>
  <c r="AB164" i="1"/>
  <c r="AC164" i="1" s="1"/>
  <c r="X164" i="1"/>
  <c r="AM163" i="1"/>
  <c r="AB163" i="1"/>
  <c r="AC163" i="1" s="1"/>
  <c r="X163" i="1"/>
  <c r="AE163" i="1" s="1"/>
  <c r="AM162" i="1"/>
  <c r="AB162" i="1"/>
  <c r="AC162" i="1" s="1"/>
  <c r="X162" i="1"/>
  <c r="AE162" i="1" s="1"/>
  <c r="AM161" i="1"/>
  <c r="AB161" i="1"/>
  <c r="AC161" i="1" s="1"/>
  <c r="X161" i="1"/>
  <c r="AE161" i="1" s="1"/>
  <c r="AM160" i="1"/>
  <c r="AB160" i="1"/>
  <c r="AC160" i="1" s="1"/>
  <c r="X160" i="1"/>
  <c r="AM159" i="1"/>
  <c r="AB159" i="1"/>
  <c r="AC159" i="1" s="1"/>
  <c r="X159" i="1"/>
  <c r="AE159" i="1" s="1"/>
  <c r="AM158" i="1"/>
  <c r="AB158" i="1"/>
  <c r="AC158" i="1" s="1"/>
  <c r="X158" i="1"/>
  <c r="AE158" i="1" s="1"/>
  <c r="AM157" i="1"/>
  <c r="AB157" i="1"/>
  <c r="AC157" i="1" s="1"/>
  <c r="X157" i="1"/>
  <c r="AE157" i="1" s="1"/>
  <c r="AM156" i="1"/>
  <c r="AB156" i="1"/>
  <c r="AC156" i="1" s="1"/>
  <c r="X156" i="1"/>
  <c r="AM155" i="1"/>
  <c r="AB155" i="1"/>
  <c r="AC155" i="1" s="1"/>
  <c r="X155" i="1"/>
  <c r="AE155" i="1" s="1"/>
  <c r="AM154" i="1"/>
  <c r="AB154" i="1"/>
  <c r="AC154" i="1" s="1"/>
  <c r="X154" i="1"/>
  <c r="AE154" i="1" s="1"/>
  <c r="AM153" i="1"/>
  <c r="AB153" i="1"/>
  <c r="AC153" i="1" s="1"/>
  <c r="X153" i="1"/>
  <c r="AE153" i="1" s="1"/>
  <c r="AM152" i="1"/>
  <c r="AB152" i="1"/>
  <c r="AC152" i="1" s="1"/>
  <c r="X152" i="1"/>
  <c r="AM151" i="1"/>
  <c r="AB151" i="1"/>
  <c r="AC151" i="1" s="1"/>
  <c r="X151" i="1"/>
  <c r="AE151" i="1" s="1"/>
  <c r="AM150" i="1"/>
  <c r="AB150" i="1"/>
  <c r="AC150" i="1" s="1"/>
  <c r="X150" i="1"/>
  <c r="AE150" i="1" s="1"/>
  <c r="AM149" i="1"/>
  <c r="AB149" i="1"/>
  <c r="AC149" i="1" s="1"/>
  <c r="X149" i="1"/>
  <c r="AE149" i="1" s="1"/>
  <c r="AM148" i="1"/>
  <c r="AB148" i="1"/>
  <c r="AC148" i="1" s="1"/>
  <c r="X148" i="1"/>
  <c r="AM147" i="1"/>
  <c r="AB147" i="1"/>
  <c r="AC147" i="1" s="1"/>
  <c r="X147" i="1"/>
  <c r="AE147" i="1" s="1"/>
  <c r="AM146" i="1"/>
  <c r="AB146" i="1"/>
  <c r="AC146" i="1" s="1"/>
  <c r="X146" i="1"/>
  <c r="AE146" i="1" s="1"/>
  <c r="AM145" i="1"/>
  <c r="AB145" i="1"/>
  <c r="AC145" i="1" s="1"/>
  <c r="X145" i="1"/>
  <c r="AE145" i="1" s="1"/>
  <c r="AM144" i="1"/>
  <c r="AB144" i="1"/>
  <c r="AC144" i="1" s="1"/>
  <c r="X144" i="1"/>
  <c r="AM143" i="1"/>
  <c r="AB143" i="1"/>
  <c r="AC143" i="1" s="1"/>
  <c r="X143" i="1"/>
  <c r="AE143" i="1" s="1"/>
  <c r="AM142" i="1"/>
  <c r="AB142" i="1"/>
  <c r="AC142" i="1" s="1"/>
  <c r="X142" i="1"/>
  <c r="AE142" i="1" s="1"/>
  <c r="AM141" i="1"/>
  <c r="AB141" i="1"/>
  <c r="AC141" i="1" s="1"/>
  <c r="X141" i="1"/>
  <c r="AE141" i="1" s="1"/>
  <c r="AM140" i="1"/>
  <c r="AB140" i="1"/>
  <c r="AC140" i="1" s="1"/>
  <c r="X140" i="1"/>
  <c r="AM139" i="1"/>
  <c r="AB139" i="1"/>
  <c r="AC139" i="1" s="1"/>
  <c r="X139" i="1"/>
  <c r="AE139" i="1" s="1"/>
  <c r="AM138" i="1"/>
  <c r="AB138" i="1"/>
  <c r="AC138" i="1" s="1"/>
  <c r="X138" i="1"/>
  <c r="AE138" i="1" s="1"/>
  <c r="AM137" i="1"/>
  <c r="AB137" i="1"/>
  <c r="AC137" i="1" s="1"/>
  <c r="X137" i="1"/>
  <c r="AE137" i="1" s="1"/>
  <c r="AM136" i="1"/>
  <c r="AB136" i="1"/>
  <c r="AC136" i="1" s="1"/>
  <c r="X136" i="1"/>
  <c r="AM135" i="1"/>
  <c r="AB135" i="1"/>
  <c r="AC135" i="1" s="1"/>
  <c r="X135" i="1"/>
  <c r="AE135" i="1" s="1"/>
  <c r="AM134" i="1"/>
  <c r="AB134" i="1"/>
  <c r="AC134" i="1" s="1"/>
  <c r="X134" i="1"/>
  <c r="AE134" i="1" s="1"/>
  <c r="AM133" i="1"/>
  <c r="AB133" i="1"/>
  <c r="AC133" i="1" s="1"/>
  <c r="X133" i="1"/>
  <c r="AE133" i="1" s="1"/>
  <c r="AM132" i="1"/>
  <c r="AB132" i="1"/>
  <c r="AC132" i="1" s="1"/>
  <c r="X132" i="1"/>
  <c r="AM131" i="1"/>
  <c r="AB131" i="1"/>
  <c r="AC131" i="1" s="1"/>
  <c r="X131" i="1"/>
  <c r="AE131" i="1" s="1"/>
  <c r="AM130" i="1"/>
  <c r="AB130" i="1"/>
  <c r="AC130" i="1" s="1"/>
  <c r="X130" i="1"/>
  <c r="AE130" i="1" s="1"/>
  <c r="AM129" i="1"/>
  <c r="AB129" i="1"/>
  <c r="AC129" i="1" s="1"/>
  <c r="X129" i="1"/>
  <c r="AE129" i="1" s="1"/>
  <c r="AM128" i="1"/>
  <c r="AB128" i="1"/>
  <c r="AC128" i="1" s="1"/>
  <c r="X128" i="1"/>
  <c r="AM127" i="1"/>
  <c r="AB127" i="1"/>
  <c r="AC127" i="1" s="1"/>
  <c r="X127" i="1"/>
  <c r="AE127" i="1" s="1"/>
  <c r="AM126" i="1"/>
  <c r="AB126" i="1"/>
  <c r="AC126" i="1" s="1"/>
  <c r="X126" i="1"/>
  <c r="AE126" i="1" s="1"/>
  <c r="AM125" i="1"/>
  <c r="AB125" i="1"/>
  <c r="AC125" i="1" s="1"/>
  <c r="X125" i="1"/>
  <c r="AE125" i="1" s="1"/>
  <c r="AM124" i="1"/>
  <c r="AB124" i="1"/>
  <c r="AC124" i="1" s="1"/>
  <c r="X124" i="1"/>
  <c r="AM123" i="1"/>
  <c r="AB123" i="1"/>
  <c r="AC123" i="1" s="1"/>
  <c r="X123" i="1"/>
  <c r="AE123" i="1" s="1"/>
  <c r="AM122" i="1"/>
  <c r="AB122" i="1"/>
  <c r="AC122" i="1" s="1"/>
  <c r="X122" i="1"/>
  <c r="AE122" i="1" s="1"/>
  <c r="AM121" i="1"/>
  <c r="AB121" i="1"/>
  <c r="AC121" i="1" s="1"/>
  <c r="X121" i="1"/>
  <c r="AE121" i="1" s="1"/>
  <c r="AM120" i="1"/>
  <c r="AB120" i="1"/>
  <c r="AC120" i="1" s="1"/>
  <c r="X120" i="1"/>
  <c r="AM119" i="1"/>
  <c r="AB119" i="1"/>
  <c r="AC119" i="1" s="1"/>
  <c r="X119" i="1"/>
  <c r="AE119" i="1" s="1"/>
  <c r="AM118" i="1"/>
  <c r="AB118" i="1"/>
  <c r="AC118" i="1" s="1"/>
  <c r="X118" i="1"/>
  <c r="AE118" i="1" s="1"/>
  <c r="AM117" i="1"/>
  <c r="AB117" i="1"/>
  <c r="AC117" i="1" s="1"/>
  <c r="X117" i="1"/>
  <c r="AE117" i="1" s="1"/>
  <c r="AM116" i="1"/>
  <c r="AB116" i="1"/>
  <c r="AC116" i="1" s="1"/>
  <c r="X116" i="1"/>
  <c r="AM115" i="1"/>
  <c r="AB115" i="1"/>
  <c r="AC115" i="1" s="1"/>
  <c r="X115" i="1"/>
  <c r="AE115" i="1" s="1"/>
  <c r="AM114" i="1"/>
  <c r="AB114" i="1"/>
  <c r="AC114" i="1" s="1"/>
  <c r="X114" i="1"/>
  <c r="AE114" i="1" s="1"/>
  <c r="AM113" i="1"/>
  <c r="AB113" i="1"/>
  <c r="AC113" i="1" s="1"/>
  <c r="X113" i="1"/>
  <c r="AE113" i="1" s="1"/>
  <c r="AM112" i="1"/>
  <c r="AB112" i="1"/>
  <c r="AC112" i="1" s="1"/>
  <c r="X112" i="1"/>
  <c r="AM111" i="1"/>
  <c r="AB111" i="1"/>
  <c r="AC111" i="1" s="1"/>
  <c r="X111" i="1"/>
  <c r="AE111" i="1" s="1"/>
  <c r="AM110" i="1"/>
  <c r="AB110" i="1"/>
  <c r="AC110" i="1" s="1"/>
  <c r="X110" i="1"/>
  <c r="AE110" i="1" s="1"/>
  <c r="AM109" i="1"/>
  <c r="AB109" i="1"/>
  <c r="AC109" i="1" s="1"/>
  <c r="X109" i="1"/>
  <c r="AE109" i="1" s="1"/>
  <c r="AM108" i="1"/>
  <c r="AB108" i="1"/>
  <c r="AC108" i="1" s="1"/>
  <c r="X108" i="1"/>
  <c r="AM107" i="1"/>
  <c r="AB107" i="1"/>
  <c r="AC107" i="1" s="1"/>
  <c r="X107" i="1"/>
  <c r="AE107" i="1" s="1"/>
  <c r="AM106" i="1"/>
  <c r="AB106" i="1"/>
  <c r="AC106" i="1" s="1"/>
  <c r="X106" i="1"/>
  <c r="AE106" i="1" s="1"/>
  <c r="AM105" i="1"/>
  <c r="AB105" i="1"/>
  <c r="AC105" i="1" s="1"/>
  <c r="X105" i="1"/>
  <c r="AE105" i="1" s="1"/>
  <c r="AM104" i="1"/>
  <c r="AB104" i="1"/>
  <c r="AC104" i="1" s="1"/>
  <c r="X104" i="1"/>
  <c r="AM103" i="1"/>
  <c r="AB103" i="1"/>
  <c r="AC103" i="1" s="1"/>
  <c r="X103" i="1"/>
  <c r="AE103" i="1" s="1"/>
  <c r="AM102" i="1"/>
  <c r="AB102" i="1"/>
  <c r="AC102" i="1" s="1"/>
  <c r="X102" i="1"/>
  <c r="AE102" i="1" s="1"/>
  <c r="AM101" i="1"/>
  <c r="AB101" i="1"/>
  <c r="AC101" i="1" s="1"/>
  <c r="X101" i="1"/>
  <c r="AE101" i="1" s="1"/>
  <c r="AM100" i="1"/>
  <c r="AB100" i="1"/>
  <c r="AC100" i="1" s="1"/>
  <c r="X100" i="1"/>
  <c r="AM99" i="1"/>
  <c r="AB99" i="1"/>
  <c r="AC99" i="1" s="1"/>
  <c r="X99" i="1"/>
  <c r="AE99" i="1" s="1"/>
  <c r="AM98" i="1"/>
  <c r="AB98" i="1"/>
  <c r="AC98" i="1" s="1"/>
  <c r="X98" i="1"/>
  <c r="AE98" i="1" s="1"/>
  <c r="AM97" i="1"/>
  <c r="AB97" i="1"/>
  <c r="AC97" i="1" s="1"/>
  <c r="X97" i="1"/>
  <c r="AE97" i="1" s="1"/>
  <c r="AM96" i="1"/>
  <c r="AB96" i="1"/>
  <c r="AC96" i="1" s="1"/>
  <c r="X96" i="1"/>
  <c r="AD96" i="1" s="1"/>
  <c r="AM95" i="1"/>
  <c r="AB95" i="1"/>
  <c r="AC95" i="1" s="1"/>
  <c r="X95" i="1"/>
  <c r="AE95" i="1" s="1"/>
  <c r="AM94" i="1"/>
  <c r="AB94" i="1"/>
  <c r="AC94" i="1" s="1"/>
  <c r="X94" i="1"/>
  <c r="AE94" i="1" s="1"/>
  <c r="AM93" i="1"/>
  <c r="AB93" i="1"/>
  <c r="AC93" i="1" s="1"/>
  <c r="X93" i="1"/>
  <c r="AE93" i="1" s="1"/>
  <c r="AM92" i="1"/>
  <c r="AB92" i="1"/>
  <c r="AC92" i="1" s="1"/>
  <c r="X92" i="1"/>
  <c r="AD92" i="1" s="1"/>
  <c r="AM91" i="1"/>
  <c r="AB91" i="1"/>
  <c r="AC91" i="1" s="1"/>
  <c r="X91" i="1"/>
  <c r="AE91" i="1" s="1"/>
  <c r="AM90" i="1"/>
  <c r="AB90" i="1"/>
  <c r="AC90" i="1" s="1"/>
  <c r="X90" i="1"/>
  <c r="AE90" i="1" s="1"/>
  <c r="AM89" i="1"/>
  <c r="AB89" i="1"/>
  <c r="AC89" i="1" s="1"/>
  <c r="X89" i="1"/>
  <c r="AE89" i="1" s="1"/>
  <c r="AM88" i="1"/>
  <c r="AB88" i="1"/>
  <c r="AC88" i="1" s="1"/>
  <c r="X88" i="1"/>
  <c r="AD88" i="1" s="1"/>
  <c r="AM87" i="1"/>
  <c r="AB87" i="1"/>
  <c r="AC87" i="1" s="1"/>
  <c r="X87" i="1"/>
  <c r="AE87" i="1" s="1"/>
  <c r="AM86" i="1"/>
  <c r="AB86" i="1"/>
  <c r="AC86" i="1" s="1"/>
  <c r="X86" i="1"/>
  <c r="AE86" i="1" s="1"/>
  <c r="AM85" i="1"/>
  <c r="AB85" i="1"/>
  <c r="AC85" i="1" s="1"/>
  <c r="X85" i="1"/>
  <c r="AE85" i="1" s="1"/>
  <c r="AM84" i="1"/>
  <c r="AB84" i="1"/>
  <c r="AC84" i="1" s="1"/>
  <c r="X84" i="1"/>
  <c r="AD84" i="1" s="1"/>
  <c r="AM83" i="1"/>
  <c r="AB83" i="1"/>
  <c r="AC83" i="1" s="1"/>
  <c r="X83" i="1"/>
  <c r="AE83" i="1" s="1"/>
  <c r="AM82" i="1"/>
  <c r="AB82" i="1"/>
  <c r="AC82" i="1" s="1"/>
  <c r="X82" i="1"/>
  <c r="AE82" i="1" s="1"/>
  <c r="AM81" i="1"/>
  <c r="AB81" i="1"/>
  <c r="AC81" i="1" s="1"/>
  <c r="X81" i="1"/>
  <c r="AE81" i="1" s="1"/>
  <c r="AM80" i="1"/>
  <c r="AB80" i="1"/>
  <c r="AC80" i="1" s="1"/>
  <c r="X80" i="1"/>
  <c r="AD80" i="1" s="1"/>
  <c r="AM79" i="1"/>
  <c r="AB79" i="1"/>
  <c r="AC79" i="1" s="1"/>
  <c r="X79" i="1"/>
  <c r="AE79" i="1" s="1"/>
  <c r="AM78" i="1"/>
  <c r="AB78" i="1"/>
  <c r="AC78" i="1" s="1"/>
  <c r="X78" i="1"/>
  <c r="AE78" i="1" s="1"/>
  <c r="AM77" i="1"/>
  <c r="AB77" i="1"/>
  <c r="AC77" i="1" s="1"/>
  <c r="X77" i="1"/>
  <c r="AE77" i="1" s="1"/>
  <c r="AM76" i="1"/>
  <c r="AB76" i="1"/>
  <c r="AC76" i="1" s="1"/>
  <c r="X76" i="1"/>
  <c r="AD76" i="1" s="1"/>
  <c r="AM75" i="1"/>
  <c r="AD75" i="1"/>
  <c r="AB75" i="1"/>
  <c r="AC75" i="1" s="1"/>
  <c r="X75" i="1"/>
  <c r="AE75" i="1" s="1"/>
  <c r="AM74" i="1"/>
  <c r="AB74" i="1"/>
  <c r="AC74" i="1" s="1"/>
  <c r="X74" i="1"/>
  <c r="AE74" i="1" s="1"/>
  <c r="AM73" i="1"/>
  <c r="AB73" i="1"/>
  <c r="AC73" i="1" s="1"/>
  <c r="X73" i="1"/>
  <c r="AE73" i="1" s="1"/>
  <c r="AM72" i="1"/>
  <c r="AB72" i="1"/>
  <c r="AC72" i="1" s="1"/>
  <c r="X72" i="1"/>
  <c r="AD72" i="1" s="1"/>
  <c r="AM71" i="1"/>
  <c r="AB71" i="1"/>
  <c r="AC71" i="1" s="1"/>
  <c r="X71" i="1"/>
  <c r="AE71" i="1" s="1"/>
  <c r="AM70" i="1"/>
  <c r="AB70" i="1"/>
  <c r="AC70" i="1" s="1"/>
  <c r="X70" i="1"/>
  <c r="AE70" i="1" s="1"/>
  <c r="AM69" i="1"/>
  <c r="AB69" i="1"/>
  <c r="AC69" i="1" s="1"/>
  <c r="X69" i="1"/>
  <c r="AE69" i="1" s="1"/>
  <c r="AM68" i="1"/>
  <c r="AB68" i="1"/>
  <c r="AC68" i="1" s="1"/>
  <c r="X68" i="1"/>
  <c r="AD68" i="1" s="1"/>
  <c r="AM67" i="1"/>
  <c r="AB67" i="1"/>
  <c r="AC67" i="1" s="1"/>
  <c r="X67" i="1"/>
  <c r="AE67" i="1" s="1"/>
  <c r="AM66" i="1"/>
  <c r="AB66" i="1"/>
  <c r="AC66" i="1" s="1"/>
  <c r="X66" i="1"/>
  <c r="AE66" i="1" s="1"/>
  <c r="AM65" i="1"/>
  <c r="AB65" i="1"/>
  <c r="AC65" i="1" s="1"/>
  <c r="X65" i="1"/>
  <c r="AE65" i="1" s="1"/>
  <c r="AM64" i="1"/>
  <c r="AB64" i="1"/>
  <c r="AC64" i="1" s="1"/>
  <c r="X64" i="1"/>
  <c r="AD64" i="1" s="1"/>
  <c r="AM63" i="1"/>
  <c r="AB63" i="1"/>
  <c r="AC63" i="1" s="1"/>
  <c r="X63" i="1"/>
  <c r="AE63" i="1" s="1"/>
  <c r="AM62" i="1"/>
  <c r="AB62" i="1"/>
  <c r="AC62" i="1" s="1"/>
  <c r="X62" i="1"/>
  <c r="AD62" i="1" s="1"/>
  <c r="AM61" i="1"/>
  <c r="AB61" i="1"/>
  <c r="AC61" i="1" s="1"/>
  <c r="X61" i="1"/>
  <c r="AE61" i="1" s="1"/>
  <c r="AM60" i="1"/>
  <c r="AB60" i="1"/>
  <c r="AC60" i="1" s="1"/>
  <c r="X60" i="1"/>
  <c r="AD60" i="1" s="1"/>
  <c r="AM59" i="1"/>
  <c r="AB59" i="1"/>
  <c r="AC59" i="1" s="1"/>
  <c r="X59" i="1"/>
  <c r="AE59" i="1" s="1"/>
  <c r="AM58" i="1"/>
  <c r="AB58" i="1"/>
  <c r="AC58" i="1" s="1"/>
  <c r="X58" i="1"/>
  <c r="AD58" i="1" s="1"/>
  <c r="AM57" i="1"/>
  <c r="AB57" i="1"/>
  <c r="AC57" i="1" s="1"/>
  <c r="X57" i="1"/>
  <c r="AE57" i="1" s="1"/>
  <c r="AM56" i="1"/>
  <c r="AB56" i="1"/>
  <c r="AC56" i="1" s="1"/>
  <c r="X56" i="1"/>
  <c r="AD56" i="1" s="1"/>
  <c r="AM55" i="1"/>
  <c r="AB55" i="1"/>
  <c r="AC55" i="1" s="1"/>
  <c r="X55" i="1"/>
  <c r="AE55" i="1" s="1"/>
  <c r="AM54" i="1"/>
  <c r="AB54" i="1"/>
  <c r="AC54" i="1" s="1"/>
  <c r="X54" i="1"/>
  <c r="AE54" i="1" s="1"/>
  <c r="AM53" i="1"/>
  <c r="AB53" i="1"/>
  <c r="AC53" i="1" s="1"/>
  <c r="X53" i="1"/>
  <c r="AE53" i="1" s="1"/>
  <c r="AM52" i="1"/>
  <c r="AB52" i="1"/>
  <c r="AC52" i="1" s="1"/>
  <c r="X52" i="1"/>
  <c r="AD52" i="1" s="1"/>
  <c r="AM51" i="1"/>
  <c r="AB51" i="1"/>
  <c r="AC51" i="1" s="1"/>
  <c r="X51" i="1"/>
  <c r="AE51" i="1" s="1"/>
  <c r="AM50" i="1"/>
  <c r="AB50" i="1"/>
  <c r="AC50" i="1" s="1"/>
  <c r="X50" i="1"/>
  <c r="AD50" i="1" s="1"/>
  <c r="AM49" i="1"/>
  <c r="AB49" i="1"/>
  <c r="AC49" i="1" s="1"/>
  <c r="X49" i="1"/>
  <c r="AE49" i="1" s="1"/>
  <c r="AM48" i="1"/>
  <c r="AB48" i="1"/>
  <c r="AC48" i="1" s="1"/>
  <c r="X48" i="1"/>
  <c r="AD48" i="1" s="1"/>
  <c r="AM47" i="1"/>
  <c r="AB47" i="1"/>
  <c r="AC47" i="1" s="1"/>
  <c r="X47" i="1"/>
  <c r="AE47" i="1" s="1"/>
  <c r="AM46" i="1"/>
  <c r="AE46" i="1"/>
  <c r="AB46" i="1"/>
  <c r="AC46" i="1" s="1"/>
  <c r="X46" i="1"/>
  <c r="AD46" i="1" s="1"/>
  <c r="AM45" i="1"/>
  <c r="AB45" i="1"/>
  <c r="AC45" i="1" s="1"/>
  <c r="X45" i="1"/>
  <c r="AE45" i="1" s="1"/>
  <c r="AM44" i="1"/>
  <c r="AB44" i="1"/>
  <c r="AC44" i="1" s="1"/>
  <c r="X44" i="1"/>
  <c r="AE44" i="1" s="1"/>
  <c r="AM43" i="1"/>
  <c r="AB43" i="1"/>
  <c r="AC43" i="1" s="1"/>
  <c r="X43" i="1"/>
  <c r="AD43" i="1" s="1"/>
  <c r="AM42" i="1"/>
  <c r="AB42" i="1"/>
  <c r="AC42" i="1" s="1"/>
  <c r="X42" i="1"/>
  <c r="AE42" i="1" s="1"/>
  <c r="AM41" i="1"/>
  <c r="AB41" i="1"/>
  <c r="AC41" i="1" s="1"/>
  <c r="X41" i="1"/>
  <c r="AD41" i="1" s="1"/>
  <c r="AM40" i="1"/>
  <c r="AB40" i="1"/>
  <c r="AC40" i="1" s="1"/>
  <c r="X40" i="1"/>
  <c r="AE40" i="1" s="1"/>
  <c r="AM39" i="1"/>
  <c r="AB39" i="1"/>
  <c r="AC39" i="1" s="1"/>
  <c r="X39" i="1"/>
  <c r="AD39" i="1" s="1"/>
  <c r="AM38" i="1"/>
  <c r="AB38" i="1"/>
  <c r="AC38" i="1" s="1"/>
  <c r="X38" i="1"/>
  <c r="AE38" i="1" s="1"/>
  <c r="AM37" i="1"/>
  <c r="AB37" i="1"/>
  <c r="AC37" i="1" s="1"/>
  <c r="X37" i="1"/>
  <c r="AD37" i="1" s="1"/>
  <c r="AM36" i="1"/>
  <c r="AB36" i="1"/>
  <c r="AC36" i="1" s="1"/>
  <c r="X36" i="1"/>
  <c r="AE36" i="1" s="1"/>
  <c r="AM35" i="1"/>
  <c r="AB35" i="1"/>
  <c r="AC35" i="1" s="1"/>
  <c r="X35" i="1"/>
  <c r="AD35" i="1" s="1"/>
  <c r="AM34" i="1"/>
  <c r="AB34" i="1"/>
  <c r="AC34" i="1" s="1"/>
  <c r="X34" i="1"/>
  <c r="AE34" i="1" s="1"/>
  <c r="AM33" i="1"/>
  <c r="AB33" i="1"/>
  <c r="AC33" i="1" s="1"/>
  <c r="X33" i="1"/>
  <c r="AD33" i="1" s="1"/>
  <c r="AM32" i="1"/>
  <c r="AB32" i="1"/>
  <c r="AC32" i="1" s="1"/>
  <c r="X32" i="1"/>
  <c r="AE32" i="1" s="1"/>
  <c r="AM31" i="1"/>
  <c r="AC31" i="1"/>
  <c r="AB31" i="1"/>
  <c r="X31" i="1"/>
  <c r="AD31" i="1" s="1"/>
  <c r="AM30" i="1"/>
  <c r="AB30" i="1"/>
  <c r="AC30" i="1" s="1"/>
  <c r="X30" i="1"/>
  <c r="AE30" i="1" s="1"/>
  <c r="AM29" i="1"/>
  <c r="AB29" i="1"/>
  <c r="AC29" i="1" s="1"/>
  <c r="X29" i="1"/>
  <c r="AD29" i="1" s="1"/>
  <c r="AM28" i="1"/>
  <c r="AB28" i="1"/>
  <c r="AC28" i="1" s="1"/>
  <c r="X28" i="1"/>
  <c r="AD28" i="1" s="1"/>
  <c r="AM27" i="1"/>
  <c r="AB27" i="1"/>
  <c r="AC27" i="1" s="1"/>
  <c r="X27" i="1"/>
  <c r="AD27" i="1" s="1"/>
  <c r="AM26" i="1"/>
  <c r="AB26" i="1"/>
  <c r="AC26" i="1" s="1"/>
  <c r="X26" i="1"/>
  <c r="AE26" i="1" s="1"/>
  <c r="AM25" i="1"/>
  <c r="AB25" i="1"/>
  <c r="AC25" i="1" s="1"/>
  <c r="X25" i="1"/>
  <c r="AD25" i="1" s="1"/>
  <c r="AM24" i="1"/>
  <c r="AB24" i="1"/>
  <c r="AC24" i="1" s="1"/>
  <c r="X24" i="1"/>
  <c r="AE24" i="1" s="1"/>
  <c r="AM23" i="1"/>
  <c r="AB23" i="1"/>
  <c r="AC23" i="1" s="1"/>
  <c r="X23" i="1"/>
  <c r="AD23" i="1" s="1"/>
  <c r="AM22" i="1"/>
  <c r="AB22" i="1"/>
  <c r="AC22" i="1" s="1"/>
  <c r="X22" i="1"/>
  <c r="AE22" i="1" s="1"/>
  <c r="AM21" i="1"/>
  <c r="AB21" i="1"/>
  <c r="AC21" i="1" s="1"/>
  <c r="X21" i="1"/>
  <c r="AD21" i="1" s="1"/>
  <c r="AM20" i="1"/>
  <c r="AB20" i="1"/>
  <c r="AC20" i="1" s="1"/>
  <c r="X20" i="1"/>
  <c r="AE20" i="1" s="1"/>
  <c r="AM19" i="1"/>
  <c r="AB19" i="1"/>
  <c r="AC19" i="1" s="1"/>
  <c r="X19" i="1"/>
  <c r="AD19" i="1" s="1"/>
  <c r="AM18" i="1"/>
  <c r="AB18" i="1"/>
  <c r="AC18" i="1" s="1"/>
  <c r="X18" i="1"/>
  <c r="AE18" i="1" s="1"/>
  <c r="AM17" i="1"/>
  <c r="AB17" i="1"/>
  <c r="AC17" i="1" s="1"/>
  <c r="X17" i="1"/>
  <c r="AD17" i="1" s="1"/>
  <c r="AM16" i="1"/>
  <c r="AB16" i="1"/>
  <c r="AC16" i="1" s="1"/>
  <c r="X16" i="1"/>
  <c r="AE16" i="1" s="1"/>
  <c r="AM15" i="1"/>
  <c r="AB15" i="1"/>
  <c r="AC15" i="1" s="1"/>
  <c r="X15" i="1"/>
  <c r="AD15" i="1" s="1"/>
  <c r="AM14" i="1"/>
  <c r="AB14" i="1"/>
  <c r="AC14" i="1" s="1"/>
  <c r="X14" i="1"/>
  <c r="AE14" i="1" s="1"/>
  <c r="AM13" i="1"/>
  <c r="AB13" i="1"/>
  <c r="AC13" i="1" s="1"/>
  <c r="X13" i="1"/>
  <c r="AD13" i="1" s="1"/>
  <c r="AM12" i="1"/>
  <c r="AB12" i="1"/>
  <c r="AC12" i="1" s="1"/>
  <c r="X12" i="1"/>
  <c r="AE12" i="1" s="1"/>
  <c r="AM11" i="1"/>
  <c r="AB11" i="1"/>
  <c r="AC11" i="1" s="1"/>
  <c r="X11" i="1"/>
  <c r="AD11" i="1" s="1"/>
  <c r="AM10" i="1"/>
  <c r="AB10" i="1"/>
  <c r="AC10" i="1" s="1"/>
  <c r="X10" i="1"/>
  <c r="AE10" i="1" s="1"/>
  <c r="AM9" i="1"/>
  <c r="AB9" i="1"/>
  <c r="AC9" i="1" s="1"/>
  <c r="X9" i="1"/>
  <c r="AD9" i="1" s="1"/>
  <c r="AM8" i="1"/>
  <c r="AB8" i="1"/>
  <c r="AC8" i="1" s="1"/>
  <c r="X8" i="1"/>
  <c r="AE8" i="1" s="1"/>
  <c r="AM7" i="1"/>
  <c r="AB7" i="1"/>
  <c r="AC7" i="1" s="1"/>
  <c r="X7" i="1"/>
  <c r="AD7" i="1" s="1"/>
  <c r="AM6" i="1"/>
  <c r="AB6" i="1"/>
  <c r="AC6" i="1" s="1"/>
  <c r="X6" i="1"/>
  <c r="AE6" i="1" s="1"/>
  <c r="AM5" i="1"/>
  <c r="AB5" i="1"/>
  <c r="AC5" i="1" s="1"/>
  <c r="X5" i="1"/>
  <c r="AD5" i="1" s="1"/>
  <c r="AM4" i="1"/>
  <c r="AB4" i="1"/>
  <c r="AC4" i="1" s="1"/>
  <c r="X4" i="1"/>
  <c r="AE4" i="1" s="1"/>
  <c r="AM3" i="1"/>
  <c r="AB3" i="1"/>
  <c r="AC3" i="1" s="1"/>
  <c r="X3" i="1"/>
  <c r="AD3" i="1" s="1"/>
  <c r="AM2" i="1"/>
  <c r="AB2" i="1"/>
  <c r="AC2" i="1" s="1"/>
  <c r="X2" i="1"/>
  <c r="AE2" i="1" s="1"/>
  <c r="AD288" i="1" l="1"/>
  <c r="AD254" i="1"/>
  <c r="AD235" i="1"/>
  <c r="AD230" i="1"/>
  <c r="AE290" i="1"/>
  <c r="AD252" i="1"/>
  <c r="AD228" i="1"/>
  <c r="AE226" i="1"/>
  <c r="AE221" i="1"/>
  <c r="AE294" i="1"/>
  <c r="AD292" i="1"/>
  <c r="AE281" i="1"/>
  <c r="AD279" i="1"/>
  <c r="AD262" i="1"/>
  <c r="AE245" i="1"/>
  <c r="AD219" i="1"/>
  <c r="AD214" i="1"/>
  <c r="AD317" i="1"/>
  <c r="AD315" i="1"/>
  <c r="AD302" i="1"/>
  <c r="AE285" i="1"/>
  <c r="AD283" i="1"/>
  <c r="AD270" i="1"/>
  <c r="AD260" i="1"/>
  <c r="AE258" i="1"/>
  <c r="AD243" i="1"/>
  <c r="AD212" i="1"/>
  <c r="AE210" i="1"/>
  <c r="AE205" i="1"/>
  <c r="AE310" i="1"/>
  <c r="AD304" i="1"/>
  <c r="AD272" i="1"/>
  <c r="AE253" i="1"/>
  <c r="AE249" i="1"/>
  <c r="AD236" i="1"/>
  <c r="AE229" i="1"/>
  <c r="AD308" i="1"/>
  <c r="AE306" i="1"/>
  <c r="AE274" i="1"/>
  <c r="AD251" i="1"/>
  <c r="AD227" i="1"/>
  <c r="AE58" i="1"/>
  <c r="AD312" i="1"/>
  <c r="AD305" i="1"/>
  <c r="AD303" i="1"/>
  <c r="AD296" i="1"/>
  <c r="AD289" i="1"/>
  <c r="AD287" i="1"/>
  <c r="AD280" i="1"/>
  <c r="AD273" i="1"/>
  <c r="AD271" i="1"/>
  <c r="AD264" i="1"/>
  <c r="AD257" i="1"/>
  <c r="AD255" i="1"/>
  <c r="AD248" i="1"/>
  <c r="AD241" i="1"/>
  <c r="AD239" i="1"/>
  <c r="AD232" i="1"/>
  <c r="AD225" i="1"/>
  <c r="AD223" i="1"/>
  <c r="AD216" i="1"/>
  <c r="AD209" i="1"/>
  <c r="AD207" i="1"/>
  <c r="AD203" i="1"/>
  <c r="AE64" i="1"/>
  <c r="AE313" i="1"/>
  <c r="AE233" i="1"/>
  <c r="AE217" i="1"/>
  <c r="AE52" i="1"/>
  <c r="AD311" i="1"/>
  <c r="AD256" i="1"/>
  <c r="AD247" i="1"/>
  <c r="AD240" i="1"/>
  <c r="AE238" i="1"/>
  <c r="AD231" i="1"/>
  <c r="AD224" i="1"/>
  <c r="AE222" i="1"/>
  <c r="AD215" i="1"/>
  <c r="AD208" i="1"/>
  <c r="AE206" i="1"/>
  <c r="AE293" i="1"/>
  <c r="AE277" i="1"/>
  <c r="AD300" i="1"/>
  <c r="AE298" i="1"/>
  <c r="AD291" i="1"/>
  <c r="AD284" i="1"/>
  <c r="AE282" i="1"/>
  <c r="AD275" i="1"/>
  <c r="AD268" i="1"/>
  <c r="AE266" i="1"/>
  <c r="AE250" i="1"/>
  <c r="AE234" i="1"/>
  <c r="AE218" i="1"/>
  <c r="AD83" i="1"/>
  <c r="AE202" i="1"/>
  <c r="AD79" i="1"/>
  <c r="AD169" i="1"/>
  <c r="AD54" i="1"/>
  <c r="AE84" i="1"/>
  <c r="AD177" i="1"/>
  <c r="AD51" i="1"/>
  <c r="AD173" i="1"/>
  <c r="AD82" i="1"/>
  <c r="AD73" i="1"/>
  <c r="AD77" i="1"/>
  <c r="AD78" i="1"/>
  <c r="AD57" i="1"/>
  <c r="AD47" i="1"/>
  <c r="AD53" i="1"/>
  <c r="AD81" i="1"/>
  <c r="AE62" i="1"/>
  <c r="AD85" i="1"/>
  <c r="AD87" i="1"/>
  <c r="AD181" i="1"/>
  <c r="AE198" i="1"/>
  <c r="AE48" i="1"/>
  <c r="AD74" i="1"/>
  <c r="AD86" i="1"/>
  <c r="AE88" i="1"/>
  <c r="AD165" i="1"/>
  <c r="AD63" i="1"/>
  <c r="AE50" i="1"/>
  <c r="AD55" i="1"/>
  <c r="AD69" i="1"/>
  <c r="AD71" i="1"/>
  <c r="AE190" i="1"/>
  <c r="AD49" i="1"/>
  <c r="AD59" i="1"/>
  <c r="AD66" i="1"/>
  <c r="AE68" i="1"/>
  <c r="AD89" i="1"/>
  <c r="AD91" i="1"/>
  <c r="AD93" i="1"/>
  <c r="AD95" i="1"/>
  <c r="AD97" i="1"/>
  <c r="AD99" i="1"/>
  <c r="AD101" i="1"/>
  <c r="AD103" i="1"/>
  <c r="AD105" i="1"/>
  <c r="AD107" i="1"/>
  <c r="AD109" i="1"/>
  <c r="AD111" i="1"/>
  <c r="AD113" i="1"/>
  <c r="AD115" i="1"/>
  <c r="AD117" i="1"/>
  <c r="AD119" i="1"/>
  <c r="AD121" i="1"/>
  <c r="AD123" i="1"/>
  <c r="AD125" i="1"/>
  <c r="AD127" i="1"/>
  <c r="AD129" i="1"/>
  <c r="AD131" i="1"/>
  <c r="AD133" i="1"/>
  <c r="AD135" i="1"/>
  <c r="AD137" i="1"/>
  <c r="AD139" i="1"/>
  <c r="AD141" i="1"/>
  <c r="AD143" i="1"/>
  <c r="AD145" i="1"/>
  <c r="AD147" i="1"/>
  <c r="AD149" i="1"/>
  <c r="AD151" i="1"/>
  <c r="AD153" i="1"/>
  <c r="AD155" i="1"/>
  <c r="AD157" i="1"/>
  <c r="AD159" i="1"/>
  <c r="AD161" i="1"/>
  <c r="AD163" i="1"/>
  <c r="AD167" i="1"/>
  <c r="AD171" i="1"/>
  <c r="AD175" i="1"/>
  <c r="AD179" i="1"/>
  <c r="AE28" i="1"/>
  <c r="AE56" i="1"/>
  <c r="AD61" i="1"/>
  <c r="AD70" i="1"/>
  <c r="AE72" i="1"/>
  <c r="AD183" i="1"/>
  <c r="AE60" i="1"/>
  <c r="AD65" i="1"/>
  <c r="AD67" i="1"/>
  <c r="AD90" i="1"/>
  <c r="AD94" i="1"/>
  <c r="AD98" i="1"/>
  <c r="AD102" i="1"/>
  <c r="AD106" i="1"/>
  <c r="AD110" i="1"/>
  <c r="AD114" i="1"/>
  <c r="AD118" i="1"/>
  <c r="AD122" i="1"/>
  <c r="AD126" i="1"/>
  <c r="AD130" i="1"/>
  <c r="AD134" i="1"/>
  <c r="AD138" i="1"/>
  <c r="AD142" i="1"/>
  <c r="AD146" i="1"/>
  <c r="AD150" i="1"/>
  <c r="AD154" i="1"/>
  <c r="AD158" i="1"/>
  <c r="AD162" i="1"/>
  <c r="AD166" i="1"/>
  <c r="AD170" i="1"/>
  <c r="AD174" i="1"/>
  <c r="AD178" i="1"/>
  <c r="AE182" i="1"/>
  <c r="AE5" i="1"/>
  <c r="AE7" i="1"/>
  <c r="AE11" i="1"/>
  <c r="AE15" i="1"/>
  <c r="AE19" i="1"/>
  <c r="AE23" i="1"/>
  <c r="AE25" i="1"/>
  <c r="AE29" i="1"/>
  <c r="AE33" i="1"/>
  <c r="AD2" i="1"/>
  <c r="AD4" i="1"/>
  <c r="AD6" i="1"/>
  <c r="AD8" i="1"/>
  <c r="AD10" i="1"/>
  <c r="AD12" i="1"/>
  <c r="AD14" i="1"/>
  <c r="AD16" i="1"/>
  <c r="AD18" i="1"/>
  <c r="AD20" i="1"/>
  <c r="AD22" i="1"/>
  <c r="AD24" i="1"/>
  <c r="AD26" i="1"/>
  <c r="AD30" i="1"/>
  <c r="AD32" i="1"/>
  <c r="AD34" i="1"/>
  <c r="AD36" i="1"/>
  <c r="AD38" i="1"/>
  <c r="AD40" i="1"/>
  <c r="AD42" i="1"/>
  <c r="AD44" i="1"/>
  <c r="AE76" i="1"/>
  <c r="AE92" i="1"/>
  <c r="AE100" i="1"/>
  <c r="AD100" i="1"/>
  <c r="AE104" i="1"/>
  <c r="AD104" i="1"/>
  <c r="AE108" i="1"/>
  <c r="AD108" i="1"/>
  <c r="AE112" i="1"/>
  <c r="AD112" i="1"/>
  <c r="AE116" i="1"/>
  <c r="AD116" i="1"/>
  <c r="AE120" i="1"/>
  <c r="AD120" i="1"/>
  <c r="AE124" i="1"/>
  <c r="AD124" i="1"/>
  <c r="AE128" i="1"/>
  <c r="AD128" i="1"/>
  <c r="AE132" i="1"/>
  <c r="AD132" i="1"/>
  <c r="AE136" i="1"/>
  <c r="AD136" i="1"/>
  <c r="AE140" i="1"/>
  <c r="AD140" i="1"/>
  <c r="AE144" i="1"/>
  <c r="AD144" i="1"/>
  <c r="AE148" i="1"/>
  <c r="AD148" i="1"/>
  <c r="AE152" i="1"/>
  <c r="AD152" i="1"/>
  <c r="AE156" i="1"/>
  <c r="AD156" i="1"/>
  <c r="AE160" i="1"/>
  <c r="AD160" i="1"/>
  <c r="AE164" i="1"/>
  <c r="AD164" i="1"/>
  <c r="AE168" i="1"/>
  <c r="AD168" i="1"/>
  <c r="AE172" i="1"/>
  <c r="AD172" i="1"/>
  <c r="AE176" i="1"/>
  <c r="AD176" i="1"/>
  <c r="AE180" i="1"/>
  <c r="AD180" i="1"/>
  <c r="AD188" i="1"/>
  <c r="AE188" i="1"/>
  <c r="AE17" i="1"/>
  <c r="AE21" i="1"/>
  <c r="AE31" i="1"/>
  <c r="AE35" i="1"/>
  <c r="AE39" i="1"/>
  <c r="AE43" i="1"/>
  <c r="AE80" i="1"/>
  <c r="AE96" i="1"/>
  <c r="AD196" i="1"/>
  <c r="AE196" i="1"/>
  <c r="AE3" i="1"/>
  <c r="AE9" i="1"/>
  <c r="AE13" i="1"/>
  <c r="AE27" i="1"/>
  <c r="AE37" i="1"/>
  <c r="AE41" i="1"/>
  <c r="AD45" i="1"/>
  <c r="AE184" i="1"/>
  <c r="AE192" i="1"/>
  <c r="AE200" i="1"/>
  <c r="AE186" i="1"/>
  <c r="AE194" i="1"/>
  <c r="AD185" i="1"/>
  <c r="AD187" i="1"/>
  <c r="AD189" i="1"/>
  <c r="AD191" i="1"/>
  <c r="AD193" i="1"/>
  <c r="AD195" i="1"/>
  <c r="AD197" i="1"/>
  <c r="AD199" i="1"/>
  <c r="AD201" i="1"/>
</calcChain>
</file>

<file path=xl/sharedStrings.xml><?xml version="1.0" encoding="utf-8"?>
<sst xmlns="http://schemas.openxmlformats.org/spreadsheetml/2006/main" count="8544" uniqueCount="3320">
  <si>
    <t>S.No</t>
  </si>
  <si>
    <t xml:space="preserve">Audit Ref </t>
  </si>
  <si>
    <t>CCF / Control ID</t>
  </si>
  <si>
    <t>Scope Area / Domain</t>
  </si>
  <si>
    <t>Sub-domain</t>
  </si>
  <si>
    <t>Control Category
(Process / Technical / Compliance)</t>
  </si>
  <si>
    <t>Regulatory Guideline / Anchor</t>
  </si>
  <si>
    <t>Chapter</t>
  </si>
  <si>
    <t>Clause Ref</t>
  </si>
  <si>
    <t>Risk / Requirement</t>
  </si>
  <si>
    <t>Control Objective</t>
  </si>
  <si>
    <t>Control Description</t>
  </si>
  <si>
    <t>Audit Interpretation</t>
  </si>
  <si>
    <t>Audit Check Point</t>
  </si>
  <si>
    <t>Test Procedure (Checklist Steps)</t>
  </si>
  <si>
    <t>Control Type
(Auto / Manual / Semi-Auto)</t>
  </si>
  <si>
    <t>Control Nature
(Preventive / Detective / Corrective)</t>
  </si>
  <si>
    <t>Key Control
(Y/N)</t>
  </si>
  <si>
    <t>Responsible Owner</t>
  </si>
  <si>
    <t>Periodicity</t>
  </si>
  <si>
    <t>Evidence / Artifact</t>
  </si>
  <si>
    <t>Monitoring</t>
  </si>
  <si>
    <t>Risk Level (Inherent)</t>
  </si>
  <si>
    <t>Risk Weight (Auto)</t>
  </si>
  <si>
    <t>Design Implementation
(Y/N)</t>
  </si>
  <si>
    <t>Operating Effectiveness
(Y/N)</t>
  </si>
  <si>
    <t>Test Result / Compliance
(Y / P / N / NA)</t>
  </si>
  <si>
    <t>Control Effectiveness (Auto)</t>
  </si>
  <si>
    <t>Residual Risk (Auto)</t>
  </si>
  <si>
    <t>Control Score (Auto)</t>
  </si>
  <si>
    <t>Max Score (Auto)</t>
  </si>
  <si>
    <t>Control Status</t>
  </si>
  <si>
    <t>Target Date</t>
  </si>
  <si>
    <t>Observation / WP Ref</t>
  </si>
  <si>
    <t>Severity of Observation
(Critical/High/Medium/Low)</t>
  </si>
  <si>
    <t>Impact of the NC/OBS/Finding</t>
  </si>
  <si>
    <t>Recommendation</t>
  </si>
  <si>
    <t>Remarks/Links for Additional evidences (Ex.. Screenshots/Doc's)</t>
  </si>
  <si>
    <t>Priority
(Must Have / Should Have) (Auto)</t>
  </si>
  <si>
    <t>Comprehensive IS Audit</t>
  </si>
  <si>
    <t>ITG-001</t>
  </si>
  <si>
    <t>IT Governance</t>
  </si>
  <si>
    <t>Process</t>
  </si>
  <si>
    <t>RBI- ITGRC</t>
  </si>
  <si>
    <t>II – IT Governance</t>
  </si>
  <si>
    <t>Absence of formal IT Governance Framework</t>
  </si>
  <si>
    <t>Ensure a formal IT Governance structure is in place to oversee IT strategy, risk, resources and business continuity.</t>
  </si>
  <si>
    <t>Establish and document an IT Governance Framework covering strategic alignment, risk management, resource management, performance management and BCP/DR.</t>
  </si>
  <si>
    <t>This checkpoint tests whether the organisation has addressed the risk of absence of formal IT Governance Framework, as required under RBI- ITGRC / Clause 4.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</si>
  <si>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and document an IT Governance Framework covering strategic alignment, risk management, resource management, performance management and BCP/DR.</t>
  </si>
  <si>
    <t>1. Obtain and review the IT Governance Framework document.
2. Verify approval by Board/ITSC.
3. Confirm it covers all five focus areas (strategic alignment, risk, resource, performance, BCP/DR).
4. Check date of last review.</t>
  </si>
  <si>
    <t>Manual</t>
  </si>
  <si>
    <t>Preventive</t>
  </si>
  <si>
    <t>Y</t>
  </si>
  <si>
    <t>Board / ITSC</t>
  </si>
  <si>
    <t>Annual review</t>
  </si>
  <si>
    <t>Board-approved IT Governance Framework document</t>
  </si>
  <si>
    <t>Manual review and sign-off by Board / ITSC, in line with the defined periodicity (Annual review); exceptions/deviations escalated for corrective action.</t>
  </si>
  <si>
    <t>High</t>
  </si>
  <si>
    <t>Open</t>
  </si>
  <si>
    <t>PLACEHOLDER — Design/Operating/Test Result set to Y for illustration only; not actual fieldwork findings</t>
  </si>
  <si>
    <t>Board not approving / reviewing IT &amp; cyber security strategies</t>
  </si>
  <si>
    <t>Ensure Board-level accountability for IT, information security, cyber security and BCP/DR strategies and policies.</t>
  </si>
  <si>
    <t>Board to approve and review at least annually: IT strategy, Information Security policy, Cyber Security policy and BCP/DR policy.</t>
  </si>
  <si>
    <t>This checkpoint tests whether the organisation has addressed the risk of board not approving / reviewing IT &amp; cyber security strategies, as required under RBI- ITGRC / Clause 5. It is a manual preventive control; the auditor's objective is to independently verify that the stated control has been designed and implemented as described, and is operating effectively to bring the high inherent risk down to an acceptable residual level.</t>
  </si>
  <si>
    <t>Confirm that board to approve and review at least annually: IT strategy, Information Security policy, Cyber Security policy and BCP/DR policy.</t>
  </si>
  <si>
    <t>1. Review Board meeting minutes for evidence of annual policy approvals.
2. Inspect signed copies of IT strategy, IS policy, Cyber Security policy and BCP/DR policy.
3. Verify review frequency meets annual minimum.</t>
  </si>
  <si>
    <t>Board of Directors</t>
  </si>
  <si>
    <t>Annual</t>
  </si>
  <si>
    <t>Board meeting minutes; signed policies</t>
  </si>
  <si>
    <t>Manual review and sign-off by Board of Directors, in line with the defined periodicity (Annual); exceptions/deviations escalated for corrective action.</t>
  </si>
  <si>
    <t>Lack of Board-level IT oversight</t>
  </si>
  <si>
    <t>Provide Board-level oversight and strategic direction for the IT function through a formally constituted committee.</t>
  </si>
  <si>
    <t>Constitute IT Strategy Committee (ITSC) with ≥3 directors, independent chairperson with 7+ years IT expertise, technically competent members; meet quarterly.</t>
  </si>
  <si>
    <t>This checkpoint tests whether the organisation has addressed the risk of lack of Board-level IT oversight, as required under RBI- ITGRC / Clause 6. It is a manual preventive control; the auditor's objective is to independently verify that the stated control has been designed and implemented as described, and is operating effectively to bring the high inherent risk down to an acceptable residual level.</t>
  </si>
  <si>
    <t>Confirm that constitute IT Strategy Committee (ITSC) with ≥3 directors, independent chairperson with 7+ years IT expertise, technically competent members.</t>
  </si>
  <si>
    <t>1. Review ITSC constitution document for member count (≥3), chairperson independence and IT expertise (7+ years).
2. Verify quarterly meeting frequency via meeting minutes.
3. Confirm technical competence of members.</t>
  </si>
  <si>
    <t>Board / Company Secretary</t>
  </si>
  <si>
    <t>Quarterly meetings</t>
  </si>
  <si>
    <t>ITSC constitution document; meeting minutes</t>
  </si>
  <si>
    <t>Manual review and sign-off by Board / Company Secretary, in line with the defined periodicity (Quarterly meetings); exceptions/deviations escalated for corrective action.</t>
  </si>
  <si>
    <t>6(d)(v)</t>
  </si>
  <si>
    <t>Inadequate IT / cyber security budgeting</t>
  </si>
  <si>
    <t>Ensure IT and cyber security budgets are adequate and aligned to the organisation's risk profile and maturity.</t>
  </si>
  <si>
    <t>ITSC to ensure budgetary allocations for IT function, IT security and cyber security are commensurate with maturity, digital depth and threat environment.</t>
  </si>
  <si>
    <t>This checkpoint tests whether the organisation has addressed the risk of inadequate IT / cyber security budgeting, as required under RBI- ITGRC / Clause 6(d)(v). It is a manual preventive control; the auditor's objective is to independently verify that the stated control has been designed and implemented as described, and is operating effectively to bring the high inherent risk down to an acceptable residual level.</t>
  </si>
  <si>
    <t>Confirm that iTSC to ensure budgetary allocations for IT function, IT security and cyber security are commensurate with maturity, digital depth and threat environment.</t>
  </si>
  <si>
    <t>1. Review ITSC minutes for evidence of budget review.
2. Compare IT/cyber security budget to prior year and industry benchmarks.
3. Confirm budget approval documentation exists.</t>
  </si>
  <si>
    <t>ITSC / CFO</t>
  </si>
  <si>
    <t>Annual budget cycle</t>
  </si>
  <si>
    <t>Budget approval records; ITSC review minutes</t>
  </si>
  <si>
    <t>Manual review and sign-off by ITSC / CFO, in line with the defined periodicity (Annual budget cycle); exceptions/deviations escalated for corrective action.</t>
  </si>
  <si>
    <t>Poor execution of IT strategy by Senior Management</t>
  </si>
  <si>
    <t>Ensure Senior Management translates Board IT strategy into operational plans and monitors IT performance.</t>
  </si>
  <si>
    <t>Establish IT Steering Committee with Senior Management from IT and business; meet quarterly; report to ITSC/CEO periodically.</t>
  </si>
  <si>
    <t>This checkpoint tests whether the organisation has addressed the risk of poor execution of IT strategy by Senior Management, as required under RBI- ITGRC / Clause 7.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</si>
  <si>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IT Steering Committee with Senior Management from IT and business.</t>
  </si>
  <si>
    <t>1. Review IT Steering Committee charter for composition and mandate.
2. Verify quarterly meeting cadence via minutes.
3. Confirm periodic reporting to ITSC and CEO.</t>
  </si>
  <si>
    <t>Senior Management / CTO</t>
  </si>
  <si>
    <t>IT Steering Committee charter; meeting minutes</t>
  </si>
  <si>
    <t>Manual review and sign-off by Senior Management / CTO, in line with the defined periodicity (Quarterly meetings); exceptions/deviations escalated for corrective action.</t>
  </si>
  <si>
    <t>Inadequate IT function leadership</t>
  </si>
  <si>
    <t>Appoint a qualified, senior IT leader accountable for IT execution, controls and DR/BCP.</t>
  </si>
  <si>
    <t>Appoint sufficiently senior, technically competent Head of IT Function (CTO/CIO); responsible for IT projects, org structure and DR/BCP strategy.</t>
  </si>
  <si>
    <t>This checkpoint tests whether the organisation has addressed the risk of inadequate IT function leadership, as required under RBI- ITGRC / Clause 8. It is a manual preventive control; the auditor's objective is to independently verify that the stated control has been designed and implemented as described, and is operating effectively to bring the high inherent risk down to an acceptable residual level.</t>
  </si>
  <si>
    <t>Confirm that appoint sufficiently senior, technically competent Head of IT Function (CTO/CIO).</t>
  </si>
  <si>
    <t>1. Verify appointment letter and job description for Head of IT.
2. Confirm reporting hierarchy and seniority level.
3. Review evidence of IT risk management oversight activities.</t>
  </si>
  <si>
    <t>CEO / Board</t>
  </si>
  <si>
    <t>Ongoing</t>
  </si>
  <si>
    <t>Appointment letter; role description; reporting lines</t>
  </si>
  <si>
    <t>Manual review and sign-off by CEO / Board, in line with the defined periodicity (Ongoing); exceptions/deviations escalated for corrective action.</t>
  </si>
  <si>
    <t>ITO-001</t>
  </si>
  <si>
    <t>IT Operations &amp; Infrastructure</t>
  </si>
  <si>
    <t>IT Infrastructure</t>
  </si>
  <si>
    <t>Technical</t>
  </si>
  <si>
    <t>III – IT Infrastructure</t>
  </si>
  <si>
    <t>IT service disruptions / operational failures</t>
  </si>
  <si>
    <t>Maintain a stable, resilient IT service environment with classified assets and a technology lifecycle plan.</t>
  </si>
  <si>
    <t>Implement IT Service Management Framework with SLM, segregation of duties, security classification of assets and technology refresh plan.</t>
  </si>
  <si>
    <t>This checkpoint tests whether the organisation has addressed the risk of iT service disruptions / operational failures, as required under RBI- ITGRC / Clause 9.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</si>
  <si>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IT Service Management Framework with SLM, segregation of duties, security classification of assets and technology refresh plan.</t>
  </si>
  <si>
    <t>1. Review IT Service Management Framework document.
2. Inspect asset inventory and security classification records.
3. Verify SLM process documentation and segregation of duties controls.
4. Check technology refresh plan and EOS monitoring logs.</t>
  </si>
  <si>
    <t>Semi-Auto</t>
  </si>
  <si>
    <t>Head of IT / CTO</t>
  </si>
  <si>
    <t>Ongoing; annual refresh review</t>
  </si>
  <si>
    <t>ITSM policy; SLM process; asset inventory</t>
  </si>
  <si>
    <t>System-generated reports reviewed periodically alongside manual verification by Head of IT / CTO, in line with the defined periodicity (Ongoing; annual refresh review); deviations reported for corrective action.</t>
  </si>
  <si>
    <t>9(d-e)</t>
  </si>
  <si>
    <t>End-of-support hardware/software in production</t>
  </si>
  <si>
    <t>Prevent operational risk from unsupported or end-of-life technology components.</t>
  </si>
  <si>
    <t>Monitor EOS/AMC dates; develop and execute timely technology refresh plan before assets reach end-of-support.</t>
  </si>
  <si>
    <t>This checkpoint tests whether the organisation has addressed the risk of end-of-support hardware/software in production, as required under RBI- ITGRC / Clause 9(d-e). It is a semi-auto preventive control; the auditor's objective is to independently verify that the stated control has been designed and implemented as described, and is operating effectively to bring the high inherent risk down to an acceptable residual level.</t>
  </si>
  <si>
    <t>Confirm that monitor EOS/AMC dates.</t>
  </si>
  <si>
    <t>1. Obtain EOS/AMC register and verify completeness.
2. Confirm monitoring process is active and alerts are configured.
3. Review technology refresh plan and confirm timely execution.</t>
  </si>
  <si>
    <t>Head of IT</t>
  </si>
  <si>
    <t>EOS tracker; refresh plan; AMC register</t>
  </si>
  <si>
    <t>System-generated reports reviewed periodically alongside manual verification by Head of IT, in line with the defined periodicity (Ongoing); deviations reported for corrective action.</t>
  </si>
  <si>
    <t>Vendor/third-party IT risks (concentration, supply chain)</t>
  </si>
  <si>
    <t>Manage risks arising from third-party IT and cyber security arrangements.</t>
  </si>
  <si>
    <t>Implement vendor risk assessment and controls; address concentration risk, single points of failure, conflict of interest, supply chain risk and regulatory compliance.</t>
  </si>
  <si>
    <t>This checkpoint tests whether the organisation has addressed the risk of vendor/third-party IT risks (concentration, supply chain), as required under RBI- ITGRC / Clause 10.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</si>
  <si>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vendor risk assessment and controls.</t>
  </si>
  <si>
    <t>1. Review vendor risk assessment framework and sample assessments.
2. Inspect contracts/SLAs for regulatory compliance, availability and data protection clauses.
3. Verify concentration risk and supply chain risk mitigations are documented.</t>
  </si>
  <si>
    <t>CTO / Procurement / Risk</t>
  </si>
  <si>
    <t>Annual; on onboarding</t>
  </si>
  <si>
    <t>Vendor risk assessment reports; contracts; SLAs</t>
  </si>
  <si>
    <t>Manual review and sign-off by CTO / Procurement / Risk, in line with the defined periodicity (Annual; on onboarding); exceptions/deviations escalated for corrective action.</t>
  </si>
  <si>
    <t>IT capacity constraints impacting service availability</t>
  </si>
  <si>
    <t>Ensure IT infrastructure can meet current and projected business demand.</t>
  </si>
  <si>
    <t>Conduct annual (or more frequent) IT capacity assessments covering past trends, current needs and future projections; reviewed by ITSC.</t>
  </si>
  <si>
    <t>This checkpoint tests whether the organisation has addressed the risk of iT capacity constraints impacting service availability, as required under RBI- ITGRC / Clause 11. It is a semi-auto detective control; the auditor's objective is to independently verify that the stated control has been designed and implemented as described, and is operating effectively to bring the medium inherent risk down to an acceptable residual level.</t>
  </si>
  <si>
    <t>Confirm that conduct annual (or more frequent) IT capacity assessments covering past trends, current needs and future projections.</t>
  </si>
  <si>
    <t>1. Obtain capacity assessment report and verify coverage of all key components.
2. Check that assessment considers peak usage, current needs and future projections.
3. Confirm ITSC review of findings and action plans.</t>
  </si>
  <si>
    <t>Detective</t>
  </si>
  <si>
    <t>N</t>
  </si>
  <si>
    <t>Head of IT / ITSC</t>
  </si>
  <si>
    <t>Annual / as needed</t>
  </si>
  <si>
    <t>Capacity assessment report; ITSC review minutes</t>
  </si>
  <si>
    <t>System-generated reports reviewed periodically alongside manual verification by Head of IT / ITSC, in line with the defined periodicity (Annual / as needed); deviations reported for corrective action.</t>
  </si>
  <si>
    <t>Medium</t>
  </si>
  <si>
    <t>IT project failures; unmanaged enterprise architecture</t>
  </si>
  <si>
    <t>Deliver IT projects reliably and maintain a secure, well-governed application landscape.</t>
  </si>
  <si>
    <t>Follow formal project management; adopt EA planning methodology; maintain enterprise data dictionary; obtain source code or escrow for critical apps.</t>
  </si>
  <si>
    <t>This checkpoint tests whether the organisation has addressed the risk of iT project failures; unmanaged enterprise architecture, as required under RBI- ITGRC / Clause 12. It is a manual preventive control; the auditor's objective is to independently verify that the stated control has been designed and implemented as described, and is operating effectively to bring the high inherent risk down to an acceptable residual level.</t>
  </si>
  <si>
    <t>Confirm that follow formal project management.</t>
  </si>
  <si>
    <t>1. Review project management methodology and select sample projects for compliance.
2. Inspect enterprise architecture documentation and data dictionary.
3. Verify source code escrow agreements for critical applications.
4. Confirm vulnerability-free certificates are on file.</t>
  </si>
  <si>
    <t>PMO / CTO</t>
  </si>
  <si>
    <t>Per project; annual EA review</t>
  </si>
  <si>
    <t>PM framework; EA methodology; escrow agreements; source code certificates</t>
  </si>
  <si>
    <t>Manual review and sign-off by PMO / CTO, in line with the defined periodicity (Per project; annual EA review); exceptions/deviations escalated for corrective action.</t>
  </si>
  <si>
    <t>12(g)</t>
  </si>
  <si>
    <t>Applications with known vulnerabilities deployed</t>
  </si>
  <si>
    <t>Prevent deployment of applications containing known vulnerabilities or malicious code.</t>
  </si>
  <si>
    <t>Obtain certificate from developer that application is free of known vulnerabilities, malware and covert channels — at deployment and after material changes.</t>
  </si>
  <si>
    <t>This checkpoint tests whether the organisation has addressed the risk of applications with known vulnerabilities deployed, as required under RBI- ITGRC / Clause 12(g). It is a manual preventive control; the auditor's objective is to independently verify that the stated control has been designed and implemented as described, and is operating effectively to bring the high inherent risk down to an acceptable residual level.</t>
  </si>
  <si>
    <t>Confirm that obtain certificate from developer that application is free of known vulnerabilities, malware and covert channels — at deployment and after material changes.</t>
  </si>
  <si>
    <t>1. Select sample of recent deployments and upgrades.
2. Verify vendor vulnerability-free certificates exist for each.
3. Confirm process requires recertification after material changes.</t>
  </si>
  <si>
    <t>CISO / CTO</t>
  </si>
  <si>
    <t>On deployment; after upgrades</t>
  </si>
  <si>
    <t>Vendor vulnerability-free certificate; change records</t>
  </si>
  <si>
    <t>Manual review and sign-off by CISO / CTO, in line with the defined periodicity (On deployment; after upgrades); exceptions/deviations escalated for corrective action.</t>
  </si>
  <si>
    <t>Uncontrolled changes causing outages or security gaps</t>
  </si>
  <si>
    <t>Prevent unauthorised, untested or poorly documented changes from destabilising IT systems.</t>
  </si>
  <si>
    <t>Documented change and patch management policy with impact assessment, timely secure implementation, documented justifications and rollback mechanism.</t>
  </si>
  <si>
    <t>This checkpoint tests whether the organisation has addressed the risk of uncontrolled changes causing outages or security gaps, as required under RBI- ITGRC / Clause 13. It is a semi-auto preventive control; the auditor's objective is to independently verify that the stated control has been designed and implemented as described, and is operating effectively to bring the high inherent risk down to an acceptable residual level.</t>
  </si>
  <si>
    <t>Confirm that documented change and patch management policy with impact assessment, timely secure implementation, documented justifications and rollback mechanism.</t>
  </si>
  <si>
    <t>1. Review change and patch management policy.
2. Sample recent change requests: verify impact assessment, approvals and documentation.
3. Verify rollback mechanism exists and has been tested.
4. Inspect patch compliance reports.</t>
  </si>
  <si>
    <t>Change Advisory Board / IT</t>
  </si>
  <si>
    <t>Change management policy; CAB minutes; patch logs</t>
  </si>
  <si>
    <t>System-generated reports reviewed periodically alongside manual verification by Change Advisory Board / IT, in line with the defined periodicity (Ongoing); deviations reported for corrective action.</t>
  </si>
  <si>
    <t>Data integrity loss during migration</t>
  </si>
  <si>
    <t>Ensure data integrity, completeness and consistency throughout migration activities.</t>
  </si>
  <si>
    <t>Documented data migration policy with systematic process, signoffs from business users and application owners at each stage, audit trail maintenance.</t>
  </si>
  <si>
    <t>This checkpoint tests whether the organisation has addressed the risk of data integrity loss during migration, as required under RBI- ITGRC / Clause 14. It is a manual detective control; the auditor's objective is to independently verify that the stated control has been designed and implemented as described, and is operating effectively to bring the high inherent risk down to an acceptable residual level.</t>
  </si>
  <si>
    <t>Confirm that documented data migration policy with systematic process, signoffs from business users and application owners at each stage, audit trail maintenance.</t>
  </si>
  <si>
    <t>1. Review data migration policy for completeness.
2. For a sample migration, verify signoff records at each stage.
3. Inspect audit trails maintained during migration.
4. Confirm post-migration reconciliation was performed.</t>
  </si>
  <si>
    <t>DBA / Business Owners</t>
  </si>
  <si>
    <t>Per migration</t>
  </si>
  <si>
    <t>Data migration policy; signoff records; audit trails</t>
  </si>
  <si>
    <t>Manual review and sign-off by DBA / Business Owners, in line with the defined periodicity (Per migration); exceptions/deviations escalated for corrective action.</t>
  </si>
  <si>
    <t>Inability to detect unauthorised activity; non-repudiation failure</t>
  </si>
  <si>
    <t>Enable detection of unauthorised activities and support forensic investigation and dispute resolution.</t>
  </si>
  <si>
    <t>All IT applications accessing critical/sensitive data must have audit and system logging; logs must support forensic use and dispute resolution; regularly monitored.</t>
  </si>
  <si>
    <t>This checkpoint tests whether the organisation has addressed the risk of inability to detect unauthorised activity; non-repudiation failure, as required under RBI- ITGRC / Clause 15. It is a auto detective control; the auditor's objective is to independently verify that the stated control has been designed and implemented as described, and is operating effectively to bring the high inherent risk down to an acceptable residual level.</t>
  </si>
  <si>
    <t>Confirm that all IT applications accessing critical/sensitive data must have audit and system logging.</t>
  </si>
  <si>
    <t>1. Verify audit logging is enabled on all critical applications (configuration review).
2. Inspect sample audit trail records for completeness and detail.
3. Review log monitoring reports and confirm regular review cadence.
4. Test retrieval of logs for a specific event.</t>
  </si>
  <si>
    <t>Auto</t>
  </si>
  <si>
    <t>CISO / IT Audit</t>
  </si>
  <si>
    <t>Ongoing; regular monitoring</t>
  </si>
  <si>
    <t>Audit trail policy; log monitoring reports; log samples</t>
  </si>
  <si>
    <t>System-generated alerts and reports are monitored by CISO / IT Audit, in line with the defined periodicity (Ongoing; regular monitoring); exceptions are escalated for corrective action.</t>
  </si>
  <si>
    <t>Weak encryption exposing data in transit/at rest</t>
  </si>
  <si>
    <t>Protect data confidentiality and integrity through strong encryption standards.</t>
  </si>
  <si>
    <t>Use strong, internationally accepted, non-deprecated algorithms, key lengths, cipher suites and protocols compliant with applicable laws and RBI instructions.</t>
  </si>
  <si>
    <t>This checkpoint tests whether the organisation has addressed the risk of weak encryption exposing data in transit/at rest, as required under RBI- ITGRC / Clause 16. It is a auto preventive control; the auditor's objective is to independently verify that the stated control has been designed and implemented as described, and is operating effectively to bring the high inherent risk down to an acceptable residual level.</t>
  </si>
  <si>
    <t>Confirm that use strong, internationally accepted, non-deprecated algorithms, key lengths, cipher suites and protocols compliant with applicable laws and RBI instructions.</t>
  </si>
  <si>
    <t>1. Review cryptography standards document.
2. Perform configuration review of transmission channels and authentication systems.
3. Confirm algorithms and protocols are not deprecated.
4. Verify compliance with RBI and legal requirements.</t>
  </si>
  <si>
    <t>CISO / IT</t>
  </si>
  <si>
    <t>Annual review; on change</t>
  </si>
  <si>
    <t>Cryptography standards document; configuration evidence</t>
  </si>
  <si>
    <t>System-generated alerts and reports are monitored by CISO / IT, in line with the defined periodicity (Annual review; on change); exceptions are escalated for corrective action.</t>
  </si>
  <si>
    <t>Unauthorised manual modification of data in transit</t>
  </si>
  <si>
    <t>Prevent unauthorised manual modification of data flowing between critical applications.</t>
  </si>
  <si>
    <t>Ensure Straight Through Processing (STP) with no manual intervention for critical applications; data transfer securely automated with authentication and audit trails.</t>
  </si>
  <si>
    <t>This checkpoint tests whether the organisation has addressed the risk of unauthorised manual modification of data in transit, as required under RBI- ITGRC / Clause 17. It is a auto preventive control; the auditor's objective is to independently verify that the stated control has been designed and implemented as described, and is operating effectively to bring the high inherent risk down to an acceptable residual level.</t>
  </si>
  <si>
    <t>Confirm that ensure Straight Through Processing (STP) with no manual intervention for critical applications.</t>
  </si>
  <si>
    <t>1. Review STP design documentation for critical applications.
2. Verify automated data transfer with appropriate authentication and audit trails.
3. Test data integrity through a sample transaction flow.
4. Review testing evidence post changes.</t>
  </si>
  <si>
    <t>Application Owners / CTO</t>
  </si>
  <si>
    <t>Ongoing; tested post-change</t>
  </si>
  <si>
    <t>STP design documentation; testing evidence</t>
  </si>
  <si>
    <t>System-generated alerts and reports are monitored by Application Owners / CTO, in line with the defined periodicity (Ongoing; tested post-change); exceptions are escalated for corrective action.</t>
  </si>
  <si>
    <t>Physical/environmental threats to DC and DR sites</t>
  </si>
  <si>
    <t>Protect Data Centre and DR sites from physical and environmental threats.</t>
  </si>
  <si>
    <t>Implement physical and environmental controls; ensure geographic separation of DC and DR; deploy e-surveillance mechanisms at both sites.</t>
  </si>
  <si>
    <t>This checkpoint tests whether the organisation has addressed the risk of physical/environmental threats to DC and DR sites, as required under RBI- ITGRC / Clause 18.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</si>
  <si>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physical and environmental controls.</t>
  </si>
  <si>
    <t>1. Inspect physical security policy.
2. Conduct walkthrough or review inspection report for DC and DR sites.
3. Verify geographic separation of sites.
4. Confirm e-surveillance (CCTV) is operational and logs are retained.</t>
  </si>
  <si>
    <t>Head of IT / Facilities</t>
  </si>
  <si>
    <t>Ongoing; annual review</t>
  </si>
  <si>
    <t>Physical security policy; CCTV records; site inspection reports</t>
  </si>
  <si>
    <t>System-generated reports reviewed periodically alongside manual verification by Head of IT / Facilities, in line with the defined periodicity (Ongoing; annual review); deviations reported for corrective action.</t>
  </si>
  <si>
    <t>Unauthorised access to information assets</t>
  </si>
  <si>
    <t>Restrict access to information assets to authorised users with a legitimate business need.</t>
  </si>
  <si>
    <t>Need-based access policy approved by ITSC; close supervision and logging for privileged users; MFA for privileged users on critical systems.</t>
  </si>
  <si>
    <t>This checkpoint tests whether the organisation has addressed the risk of unauthorised access to information assets, as required under RBI- ITGRC / Clause 19. It is a semi-auto preventive control; the auditor's objective is to independently verify that the stated control has been designed and implemented as described, and is operating effectively to bring the high inherent risk down to an acceptable residual level.</t>
  </si>
  <si>
    <t>Confirm that need-based access policy approved by ITSC.</t>
  </si>
  <si>
    <t>1. Review access control policy and confirm ITSC approval.
2. Sample user access rights and verify need-based provisioning.
3. Confirm MFA is enforced for privileged users on critical systems.
4. Review privileged user activity logs and periodic review records.</t>
  </si>
  <si>
    <t>Ongoing; periodic access review</t>
  </si>
  <si>
    <t>Access control policy; MFA evidence; privileged user logs; ITSC approval</t>
  </si>
  <si>
    <t>System-generated reports reviewed periodically alongside manual verification by CISO / IT, in line with the defined periodicity (Ongoing; periodic access review); deviations reported for corrective action.</t>
  </si>
  <si>
    <t>Insecure remote/telework access</t>
  </si>
  <si>
    <t>Secure remote access to the organisation's information assets from telework environments.</t>
  </si>
  <si>
    <t>Secure systems for remote access; MFA for enterprise access to critical systems; identify all remote-access devices; ensure data security in teleworking.</t>
  </si>
  <si>
    <t>This checkpoint tests whether the organisation has addressed the risk of insecure remote/telework access, as required under RBI- ITGRC / Clause 20. It is a semi-auto preventive control; the auditor's objective is to independently verify that the stated control has been designed and implemented as described, and is operating effectively to bring the high inherent risk down to an acceptable residual level.</t>
  </si>
  <si>
    <t>Confirm that secure systems for remote access.</t>
  </si>
  <si>
    <t>1. Review telework security policy.
2. Verify MFA is enforced for remote enterprise access.
3. Inspect device inventory for registered remote-access devices.
4. Test a sample remote session for security control enforcement.</t>
  </si>
  <si>
    <t>Telework security policy; MFA logs; device inventory</t>
  </si>
  <si>
    <t>System-generated reports reviewed periodically alongside manual verification by CISO / IT, in line with the defined periodicity (Ongoing); deviations reported for corrective action.</t>
  </si>
  <si>
    <t>Undefined or unmet IT performance and recovery targets</t>
  </si>
  <si>
    <t>Monitor and maintain IT performance and recovery capability against defined objectives.</t>
  </si>
  <si>
    <t>Define RPO/RTO and performance metrics for all critical information systems; risk-based metrics for non-critical; implement IT maturity scorecard.</t>
  </si>
  <si>
    <t>This checkpoint tests whether the organisation has addressed the risk of undefined or unmet IT performance and recovery targets, as required under RBI- ITGRC / Clause 21. It is a semi-auto detective control; the auditor's objective is to independently verify that the stated control has been designed and implemented as described, and is operating effectively to bring the medium inherent risk down to an acceptable residual level.</t>
  </si>
  <si>
    <t>Confirm that define RPO/RTO and performance metrics for all critical information systems.</t>
  </si>
  <si>
    <t>1. Review RPO/RTO definitions for all critical systems.
2. Verify IT maturity scorecard exists and is updated.
3. Inspect recent scorecard reports and confirm ITSC review.</t>
  </si>
  <si>
    <t>Annual; reviewed per incident</t>
  </si>
  <si>
    <t>RPO/RTO definitions; scorecard reports</t>
  </si>
  <si>
    <t>System-generated reports reviewed periodically alongside manual verification by Head of IT / ITSC, in line with the defined periodicity (Annual; reviewed per incident); deviations reported for corrective action.</t>
  </si>
  <si>
    <t>RSK-001</t>
  </si>
  <si>
    <t>IT &amp; IS Risk Management</t>
  </si>
  <si>
    <t>IV – IT &amp; IS Risk Mgmt</t>
  </si>
  <si>
    <t>IT/cyber risks not embedded in enterprise risk framework</t>
  </si>
  <si>
    <t>Embed IT and cyber risk into the enterprise risk management framework.</t>
  </si>
  <si>
    <t>Include IT and cyber security risks in risk management policy; RMCB in consultation with ITSC to review and update at least annually.</t>
  </si>
  <si>
    <t>This checkpoint tests whether the organisation has addressed the risk of iT/cyber risks not embedded in enterprise risk framework, as required under RBI- ITGRC / Clause 22. It is a manual preventive control; the auditor's objective is to independently verify that the stated control has been designed and implemented as described, and is operating effectively to bring the high inherent risk down to an acceptable residual level.</t>
  </si>
  <si>
    <t>Confirm that include IT and cyber security risks in risk management policy.</t>
  </si>
  <si>
    <t>1. Review the risk management policy for IT and cyber risk inclusion.
2. Verify RMCB and ITSC joint review evidence (minutes).
3. Confirm annual update cycle is adhered to.</t>
  </si>
  <si>
    <t>CRO / RMCB / ITSC</t>
  </si>
  <si>
    <t>Risk management policy; RMCB/ITSC review minutes</t>
  </si>
  <si>
    <t>Manual review and sign-off by CRO / RMCB / ITSC, in line with the defined periodicity (Annual); exceptions/deviations escalated for corrective action.</t>
  </si>
  <si>
    <t>Absence of formal IT/IS risk management</t>
  </si>
  <si>
    <t>Establish a comprehensive framework to identify, assess and mitigate IT and information security risks.</t>
  </si>
  <si>
    <t>Establish IT and IS Risk Management Framework covering IS management function, role definitions, critical system identification, and data security controls.</t>
  </si>
  <si>
    <t>This checkpoint tests whether the organisation has addressed the risk of absence of formal IT/IS risk management, as required under RBI- ITGRC / Clause 23.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</si>
  <si>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IT and IS Risk Management Framework covering IS management function, role definitions, critical system identification, and data security controls.</t>
  </si>
  <si>
    <t>1. Review IT/IS Risk Management Framework document.
2. Inspect risk register for completeness and currency.
3. Verify roles and responsibilities are defined.
4. Confirm controls are periodically reviewed for efficacy.</t>
  </si>
  <si>
    <t>CISO / CRO</t>
  </si>
  <si>
    <t>IT/IS Risk Management Framework; risk register</t>
  </si>
  <si>
    <t>Manual review and sign-off by CISO / CRO, in line with the defined periodicity (Annual review); exceptions/deviations escalated for corrective action.</t>
  </si>
  <si>
    <t>Inadequate information/cyber security governance</t>
  </si>
  <si>
    <t>Govern information and cyber security through formal policies, a dedicated committee and an empowered CISO.</t>
  </si>
  <si>
    <t>Implement IS Policy, Cyber Security Policy and CCMP; form ISC under ITSC; appoint senior-level CISO (GM-equivalent) with no direct reporting to Head of IT and no business targets.</t>
  </si>
  <si>
    <t>This checkpoint tests whether the organisation has addressed the risk of inadequate information/cyber security governance, as required under RBI- ITGRC / Clause 24.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</si>
  <si>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IS Policy, Cyber Security Policy and CCMP.</t>
  </si>
  <si>
    <t>1. Review IS Policy, Cyber Security Policy and CCMP.
2. Verify CISO appointment letter, reporting line (to ED/risk function) and absence of business targets.
3. Inspect ISC charter and meeting minutes.
4. Confirm CISO places quarterly review before Board/RMCB/ITSC.</t>
  </si>
  <si>
    <t>CISO / ITSC</t>
  </si>
  <si>
    <t>Annual policy review; quarterly CISO reporting</t>
  </si>
  <si>
    <t>IS Policy; Cyber Security Policy; CCMP; CISO appointment letter; ISC charter; meeting minutes</t>
  </si>
  <si>
    <t>Manual review and sign-off by CISO / ITSC, in line with the defined periodicity (Annual policy review; quarterly CISO reporting); exceptions/deviations escalated for corrective action.</t>
  </si>
  <si>
    <t>Unidentified vulnerabilities; phishing/spoofing attacks</t>
  </si>
  <si>
    <t>Ensure all information assets are risk-assessed and all staff comply with security policies.</t>
  </si>
  <si>
    <t>Conduct risk assessment per information asset; ensure all staff and service providers comply with IS policies; review security infrastructure and policies annually.</t>
  </si>
  <si>
    <t>This checkpoint tests whether the organisation has addressed the risk of unidentified vulnerabilities; phishing/spoofing attacks, as required under RBI- ITGRC / Clause 25. It is a manual preventive control; the auditor's objective is to independently verify that the stated control has been designed and implemented as described, and is operating effectively to bring the high inherent risk down to an acceptable residual level.</t>
  </si>
  <si>
    <t>Confirm that conduct risk assessment per information asset.</t>
  </si>
  <si>
    <t>1. Review risk assessment methodology and sample assessments.
2. Verify security awareness training records for staff and service providers.
3. Inspect policy acknowledgement register.
4. Confirm annual review of security infrastructure.</t>
  </si>
  <si>
    <t>CISO / All Staff</t>
  </si>
  <si>
    <t>Risk assessment reports; training records; policy acknowledgements</t>
  </si>
  <si>
    <t>Manual review and sign-off by CISO / All Staff, in line with the defined periodicity (Annual review); exceptions/deviations escalated for corrective action.</t>
  </si>
  <si>
    <t>Exploitable vulnerabilities in critical/DMZ-facing systems</t>
  </si>
  <si>
    <t>Identify and remediate vulnerabilities in critical and internet-facing systems in a timely manner.</t>
  </si>
  <si>
    <t>Conduct VA at least every 6 months and PT at least every 12 months for critical/DMZ systems; risk-based for non-critical; remediate in time-bound manner; maintain CVSS scoring.</t>
  </si>
  <si>
    <t>This checkpoint tests whether the organisation has addressed the risk of exploitable vulnerabilities in critical/DMZ-facing systems, as required under RBI- ITGRC / Clause 26. It is a semi-auto detective control; the auditor's objective is to independently verify that the stated control has been designed and implemented as described, and is operating effectively to bring the high inherent risk down to an acceptable residual level.</t>
  </si>
  <si>
    <t>Confirm that conduct VA at least every 6 months and PT at least every 12 months for critical/DMZ systems.</t>
  </si>
  <si>
    <t>1. Review VA/PT schedule and confirm frequency (VA ≤6 months, PT ≤12 months).
2. Inspect VA/PT reports for critical and DMZ systems.
3. Verify CVSS scoring methodology is applied.
4. Review remediation tracker for time-bound closure of findings.</t>
  </si>
  <si>
    <t>CISO / IS Audit</t>
  </si>
  <si>
    <t>6-monthly (VA); Annual (PT)</t>
  </si>
  <si>
    <t>VA/PT reports; remediation tracker; CVE compliance evidence</t>
  </si>
  <si>
    <t>System-generated reports reviewed periodically alongside manual verification by CISO / IS Audit, in line with the defined periodicity (6-monthly (VA); Annual (PT)); deviations reported for corrective action.</t>
  </si>
  <si>
    <t>Delayed or inadequate cyber incident response</t>
  </si>
  <si>
    <t>Detect, contain, investigate and recover from cyber incidents promptly with clear communication.</t>
  </si>
  <si>
    <t>Maintain incident response &amp; recovery policy with classification, communication plan and recovery steps; conduct forensic analysis; notify CERT-In, RBI and IB-CART; periodic drills.</t>
  </si>
  <si>
    <t>This checkpoint tests whether the organisation has addressed the risk of delayed or inadequate cyber incident response, as required under RBI- ITGRC / Clause 27. It is a semi-auto corrective control; the auditor's objective is to independently verify that the stated control has been designed and implemented as described, and is operating effectively to bring the high inherent risk down to an acceptable residual level.</t>
  </si>
  <si>
    <t>Confirm that maintain incident response &amp; recovery policy with classification, communication plan and recovery steps.</t>
  </si>
  <si>
    <t>1. Review cyber incident response and recovery plan.
2. Verify incident classification and communication plan sections.
3. Inspect past incident records for forensic analysis and RBI/CERT-In notification evidence.
4. Review drill reports and lessons-learnt documentation.</t>
  </si>
  <si>
    <t>Corrective</t>
  </si>
  <si>
    <t>CISO / Incident Response Team</t>
  </si>
  <si>
    <t>Ongoing; periodic drills</t>
  </si>
  <si>
    <t>Incident response plan; incident logs; CERT-In/RBI notifications; drill reports</t>
  </si>
  <si>
    <t>System-generated reports reviewed periodically alongside manual verification by CISO / Incident Response Team, in line with the defined periodicity (Ongoing; periodic drills); deviations reported for corrective action.</t>
  </si>
  <si>
    <t>BCM-001</t>
  </si>
  <si>
    <t>Business Continuity Management</t>
  </si>
  <si>
    <t>BCP / DR Management</t>
  </si>
  <si>
    <t>V – BCP / DR Mgmt</t>
  </si>
  <si>
    <t>Business disruption from IT/cyber incidents without recovery plan</t>
  </si>
  <si>
    <t>Maintain BCP and DR capabilities aligned to best practices to ensure resilient recovery.</t>
  </si>
  <si>
    <t>Maintain BCP and DR policy aligned to best practices (e.g., ISO 22301); design to support resilience objectives and rapid secure recovery post cyber-attacks.</t>
  </si>
  <si>
    <t>This checkpoint tests whether the organisation has addressed the risk of business disruption from IT/cyber incidents without recovery plan, as required under RBI- ITGRC / Clause 28. It is a manual corrective control; the auditor's objective is to independently verify that the stated control has been designed and implemented as described, and is operating effectively to bring the high inherent risk down to an acceptable residual level.</t>
  </si>
  <si>
    <t>Confirm that maintain BCP and DR policy aligned to best practices (e.g., ISO 22301).</t>
  </si>
  <si>
    <t>1. Review BCP and DR policy against ISO 22301 or equivalent.
2. Confirm policy was updated after major developments or risk assessments.
3. Verify resilience objectives and recovery security controls are documented.</t>
  </si>
  <si>
    <t>Annual review; post major event</t>
  </si>
  <si>
    <t>BCP/DR policy; ISO 22301 certification or self-assessment</t>
  </si>
  <si>
    <t>Manual review and sign-off by Head of IT / CTO, in line with the defined periodicity (Annual review; post major event); exceptions/deviations escalated for corrective action.</t>
  </si>
  <si>
    <t>DR failure during actual contingency</t>
  </si>
  <si>
    <t>Validate that DR infrastructure can recover critical systems within defined RTO/RPO under real conditions.</t>
  </si>
  <si>
    <t>Conduct DR drills at least half-yearly for critical systems; resolve major issues before next cycle; DR testing must involve full switchover for ≥1 full working day; backup data with periodic restore testing; identical DC/DR configurations; near-zero RPO for critical systems.</t>
  </si>
  <si>
    <t>This checkpoint tests whether the organisation has addressed the risk of dR failure during actual contingency, as required under RBI- ITGRC / Clause 29. It is a semi-auto corrective control; the auditor's objective is to independently verify that the stated control has been designed and implemented as described, and is operating effectively to bring the high inherent risk down to an acceptable residual level.</t>
  </si>
  <si>
    <t>Confirm that conduct DR drills at least half-yearly for critical systems.</t>
  </si>
  <si>
    <t>1. Review DR drill schedule and confirm half-yearly frequency for critical systems.
2. Inspect switchover logs confirming full working-day operation at DR site.
3. Verify backup restore test records and data integrity checks.
4. Compare DC and DR configuration reports for consistency.
5. Confirm near-zero RPO for critical systems is documented and tested.</t>
  </si>
  <si>
    <t>Head of IT / DR Manager</t>
  </si>
  <si>
    <t>Half-yearly (critical); risk-based (others)</t>
  </si>
  <si>
    <t>DR drill reports; switchover logs; backup restore test records; DC/DR config comparison reports</t>
  </si>
  <si>
    <t>System-generated reports reviewed periodically alongside manual verification by Head of IT / DR Manager, in line with the defined periodicity (Half-yearly (critical); risk-based (others)); deviations reported for corrective action.</t>
  </si>
  <si>
    <t>AUD-001</t>
  </si>
  <si>
    <t>IS Audit</t>
  </si>
  <si>
    <t>VI – IS Audit</t>
  </si>
  <si>
    <t>Ineffective oversight of IT/IS controls via audit</t>
  </si>
  <si>
    <t>Provide independent assurance on the effectiveness of IT, IS and cyber security controls.</t>
  </si>
  <si>
    <t>ACB responsible for IS Audit oversight; maintain IS Audit Policy approved by ACB; conduct risk-based IS Audit planning; maintain separate IS Audit function; consider continuous auditing for critical systems.</t>
  </si>
  <si>
    <t>This checkpoint tests whether the organisation has addressed the risk of ineffective oversight of IT/IS controls via audit, as required under RBI- ITGRC / Clause 30. It is a manual detective control; the auditor's objective is to independently verify that the stated control has been designed and implemented as described, and is operating effectively to bring the high inherent risk down to an acceptable residual level.</t>
  </si>
  <si>
    <t>Confirm that aCB responsible for IS Audit oversight.</t>
  </si>
  <si>
    <t>1. Review IS Audit Policy for mandate, scope and periodicity.
2. Confirm ACB approval and annual review of policy.
3. Verify IS Audit team qualifications and independence.
4. Inspect risk-based audit plan and recent audit reports.
5. Review ACB minutes for discussion of critical IT/IS findings.</t>
  </si>
  <si>
    <t>ACB / Chief Internal Auditor</t>
  </si>
  <si>
    <t>Annual policy review; risk-based audit cycle</t>
  </si>
  <si>
    <t>IS Audit Policy; audit plan; audit reports; ACB review minutes</t>
  </si>
  <si>
    <t>Manual review and sign-off by ACB / Chief Internal Auditor, in line with the defined periodicity (Annual policy review; risk-based audit cycle); exceptions/deviations escalated for corrective action.</t>
  </si>
  <si>
    <t>ISM-001</t>
  </si>
  <si>
    <t>Information &amp; Cyber Security</t>
  </si>
  <si>
    <t>Cyber Security Policy</t>
  </si>
  <si>
    <t xml:space="preserve">RBI Cyber Security Framework for Banks </t>
  </si>
  <si>
    <t>Para 3</t>
  </si>
  <si>
    <t>Absence of Board-approved Cyber Security Policy</t>
  </si>
  <si>
    <t>Ensure the bank has a formal, Board-approved cyber security strategy that is separate from the IT/IS policy.</t>
  </si>
  <si>
    <t>Immediately put in place a cyber security policy elucidating the strategy to combat cyber threats, duly approved by the Board; keep it distinct from the broader IT/IS Security Policy.</t>
  </si>
  <si>
    <t>This checkpoint tests whether the organisation has addressed the risk of absence of Board-approved Cyber Security Policy, as required under RBI Cyber Security Framework for Banks  / Clause Para 3. It is a manual preventive control; the auditor's objective is to independently verify that the stated control has been designed and implemented as described, and is operating effectively to bring the high inherent risk down to an acceptable residual level.</t>
  </si>
  <si>
    <t>Confirm that immediately put in place a cyber security policy elucidating the strategy to combat cyber threats, duly approved by the Board.</t>
  </si>
  <si>
    <t>1. Obtain and review the Cyber Security Policy document.
2. Verify Board approval via meeting minutes.
3. Confirm it is distinct from the IT/IS Security Policy.
4. Check date of last review against annual minimum.</t>
  </si>
  <si>
    <t>Board of Directors / CISO</t>
  </si>
  <si>
    <t>Immediate; annual review</t>
  </si>
  <si>
    <t>Board-approved Cyber Security Policy document; Board meeting minutes</t>
  </si>
  <si>
    <t>Manual review and sign-off by Board of Directors / CISO, in line with the defined periodicity (Immediate; annual review); exceptions/deviations escalated for corrective action.</t>
  </si>
  <si>
    <t>Para 4-5</t>
  </si>
  <si>
    <t>Cyber security risks not adequately identified and categorised</t>
  </si>
  <si>
    <t>Ensure inherent cyber risks are identified, categorised, and controls are evaluated against the bank's risk profile.</t>
  </si>
  <si>
    <t>Identify inherent risks (technologies, delivery channels, online/mobile products, internal &amp; external threats) and categorise riskiness as low / moderate / high / very high; evaluate controls including Board oversight, policies, threat intelligence, preventive/detective/corrective controls, vendor and incident management.</t>
  </si>
  <si>
    <t>This checkpoint tests whether the organisation has addressed the risk of cyber security risks not adequately identified and categorised, as required under RBI Cyber Security Framework for Banks  / Clause Para 4-5. It is a manual preventive control; the auditor's objective is to independently verify that the stated control has been designed and implemented as described, and is operating effectively to bring the high inherent risk down to an acceptable residual level.</t>
  </si>
  <si>
    <t>Confirm that identify inherent risks (technologies, delivery channels, online/mobile products, internal &amp; external threats) and categorise riskiness as low / moderate / high / very high.</t>
  </si>
  <si>
    <t>1. Review risk assessment methodology covering all required dimensions (technology, channels, products, threats).
2. Confirm risk categorisation (low/moderate/high/very high) is documented.
3. Verify controls evaluation covers all areas specified in Para 5.
4. Confirm Board IT Sub-Committee review.</t>
  </si>
  <si>
    <t>CISO / Board IT Sub-Committee</t>
  </si>
  <si>
    <t>Annual review; on material change</t>
  </si>
  <si>
    <t>Risk assessment reports; risk categorisation matrix; Board IT Sub-Committee review minutes</t>
  </si>
  <si>
    <t>Manual review and sign-off by CISO / Board IT Sub-Committee, in line with the defined periodicity (Annual review; on material change); exceptions/deviations escalated for corrective action.</t>
  </si>
  <si>
    <t>ITO-002</t>
  </si>
  <si>
    <t>Continuous Surveillance</t>
  </si>
  <si>
    <t>Para 6</t>
  </si>
  <si>
    <t>Absence of Security Operations Centre (SOC)</t>
  </si>
  <si>
    <t>Establish continuous real-time monitoring of cyber risks through an operational SOC.</t>
  </si>
  <si>
    <t>Set up a SOC at the earliest to ensure continuous surveillance; keep it regularly updated on the latest nature of emerging cyber threats; conduct vulnerability testing at reasonable intervals.</t>
  </si>
  <si>
    <t>This checkpoint tests whether the organisation has addressed the risk of absence of Security Operations Centre (SOC), as required under RBI Cyber Security Framework for Banks  / Clause Para 6. It is a semi-auto detective control; the auditor's objective is to independently verify that the stated control has been designed and implemented as described, and is operating effectively to bring the high inherent risk down to an acceptable residual level.</t>
  </si>
  <si>
    <t>Confirm that set up a SOC at the earliest to ensure continuous surveillance.</t>
  </si>
  <si>
    <t>1. Verify SOC has been established and is operational.
2. Inspect SOC monitoring logs and escalation procedures.
3. Confirm SOC covers real-time/near-real-time monitoring.
4. Review vulnerability testing schedule and recent test reports.</t>
  </si>
  <si>
    <t>CISO / Head of IT</t>
  </si>
  <si>
    <t>Ongoing; SOC operational 24x7</t>
  </si>
  <si>
    <t>SOC setup documentation; SOC operational logs; vulnerability test reports</t>
  </si>
  <si>
    <t>System-generated reports reviewed periodically alongside manual verification by CISO / Head of IT, in line with the defined periodicity (Ongoing; SOC operational 24x7); deviations reported for corrective action.</t>
  </si>
  <si>
    <t>ITG-002</t>
  </si>
  <si>
    <t>IT Architecture</t>
  </si>
  <si>
    <t>Para 7</t>
  </si>
  <si>
    <t>IT architecture not conducive to security</t>
  </si>
  <si>
    <t>Ensure IT architecture is designed and maintained to support security controls at all times.</t>
  </si>
  <si>
    <t>Design IT architecture to facilitate security measures at all times; reviewed by the IT Sub-Committee of the Board; upgrade per risk assessment in a phased manner; record risk cost/trade-off decisions in writing.</t>
  </si>
  <si>
    <t>This checkpoint tests whether the organisation has addressed the risk of iT architecture not conducive to security, as required under RBI Cyber Security Framework for Banks  / Clause Para 7. It is a manual preventive control; the auditor's objective is to independently verify that the stated control has been designed and implemented as described, and is operating effectively to bring the high inherent risk down to an acceptable residual level.</t>
  </si>
  <si>
    <t>Confirm that design IT architecture to facilitate security measures at all times.</t>
  </si>
  <si>
    <t>1. Review IT architecture documentation for security-enabling design.
2. Verify IT Sub-Committee review evidence.
3. Inspect written records of risk cost/trade-off decisions.
4. Confirm phased upgrade plan exists for gaps.</t>
  </si>
  <si>
    <t>CTO / Board IT Sub-Committee</t>
  </si>
  <si>
    <t>Annual review; on architecture change</t>
  </si>
  <si>
    <t>IT architecture design documents; IT Sub-Committee review minutes; written risk trade-off decisions</t>
  </si>
  <si>
    <t>Manual review and sign-off by CTO / Board IT Sub-Committee, in line with the defined periodicity (Annual review; on architecture change); exceptions/deviations escalated for corrective action.</t>
  </si>
  <si>
    <t>ISM-002</t>
  </si>
  <si>
    <t>Baseline Controls – Inventory Management</t>
  </si>
  <si>
    <t>Annex 1 – Control 1.1</t>
  </si>
  <si>
    <t>No up-to-date inventory of IT assets</t>
  </si>
  <si>
    <t>Ensure complete visibility of all IT assets and their business criticality.</t>
  </si>
  <si>
    <t>Maintain an up-to-date inventory of all assets including business data/information, customer data, business applications, supporting IT infrastructure (hardware/software/network devices), key personnel and services, indicating business criticality.</t>
  </si>
  <si>
    <t>This checkpoint tests whether the organisation has addressed the risk of no up-to-date inventory of IT assets, as required under RBI Cyber Security Framework for Banks  / Clause Annex 1 – Control 1.1. It is a semi-auto preventive control; the auditor's objective is to independently verify that the stated control has been designed and implemented as described, and is operating effectively to bring the high inherent risk down to an acceptable residual level.</t>
  </si>
  <si>
    <t>Confirm that maintain an up-to-date inventory of all assets including business data/information, customer data, business applications, supporting IT infrastructure (hardware/software/network devices), key personnel and services, indicating business criticality.</t>
  </si>
  <si>
    <t>1. Obtain asset inventory and verify completeness across all asset categories.
2. Confirm business criticality is assigned to each asset.
3. Check date of last update.
4. Verify a defined framework/criteria is used for identifying critical assets.</t>
  </si>
  <si>
    <t>Head of IT / CISO</t>
  </si>
  <si>
    <t>Ongoing; reviewed at least annually</t>
  </si>
  <si>
    <t>Asset inventory register with criticality classification</t>
  </si>
  <si>
    <t>System-generated reports reviewed periodically alongside manual verification by Head of IT / CISO, in line with the defined periodicity (Ongoing; reviewed at least annually); deviations reported for corrective action.</t>
  </si>
  <si>
    <t>Annex 1 – Control 1.2</t>
  </si>
  <si>
    <t>Data not classified by sensitivity</t>
  </si>
  <si>
    <t>Protect data commensurate with its sensitivity through a formal classification scheme.</t>
  </si>
  <si>
    <t>Classify data/information based on information classification/sensitivity criteria of the bank.</t>
  </si>
  <si>
    <t>This checkpoint tests whether the organisation has addressed the risk of data not classified by sensitivity, as required under RBI Cyber Security Framework for Banks  / Clause Annex 1 – Control 1.2. It is a manual preventive control; the auditor's objective is to independently verify that the stated control has been designed and implemented as described, and is operating effectively to bring the high inherent risk down to an acceptable residual level.</t>
  </si>
  <si>
    <t>Confirm that classify data/information based on information classification/sensitivity criteria of the bank.</t>
  </si>
  <si>
    <t>1. Review data classification policy and criteria.
2. Sample data assets and confirm classification labels are applied.
3. Verify classification is reflected in access and handling controls.</t>
  </si>
  <si>
    <t>CISO / Data Owners</t>
  </si>
  <si>
    <t>Annual review; on new data type</t>
  </si>
  <si>
    <t>Data classification policy; classified data register</t>
  </si>
  <si>
    <t>Manual review and sign-off by CISO / Data Owners, in line with the defined periodicity (Annual review; on new data type); exceptions/deviations escalated for corrective action.</t>
  </si>
  <si>
    <t>Annex 1 – Control 1.3</t>
  </si>
  <si>
    <t>Inadequate protection of data inside and outside the organisation</t>
  </si>
  <si>
    <t>Protect all data (at rest, in transit, in use) within and outside the bank's network according to its sensitivity.</t>
  </si>
  <si>
    <t>Appropriately manage and protect data within and outside organisation borders/network based on how it is stored, transmitted, processed, accessed and the level of risk exposure depending on sensitivity.</t>
  </si>
  <si>
    <t>This checkpoint tests whether the organisation has addressed the risk of inadequate protection of data inside and outside the organisation, as required under RBI Cyber Security Framework for Banks  / Clause Annex 1 – Control 1.3. It is a semi-auto preventive control; the auditor's objective is to independently verify that the stated control has been designed and implemented as described, and is operating effectively to bring the high inherent risk down to an acceptable residual level.</t>
  </si>
  <si>
    <t>Confirm that appropriately manage and protect data within and outside organisation borders/network based on how it is stored, transmitted, processed, accessed and the level of risk exposure depending on sensitivity.</t>
  </si>
  <si>
    <t>1. Review data protection controls for each data handling scenario (storage, transit, processing).
2. Verify controls extend to external/third-party environments.
3. Inspect DLP reports for data exfiltration monitoring.</t>
  </si>
  <si>
    <t>Data protection controls documentation; DLP reports</t>
  </si>
  <si>
    <t>ISM-003</t>
  </si>
  <si>
    <t>Baseline Controls – Software Control</t>
  </si>
  <si>
    <t>Annex 1 – Control 2.1</t>
  </si>
  <si>
    <t>Execution of unauthorised software</t>
  </si>
  <si>
    <t>Prevent execution of unauthorised software across bank systems.</t>
  </si>
  <si>
    <t>Maintain an up-to-date centralised inventory of authorised/unauthorised software; consider implementing application whitelisting.</t>
  </si>
  <si>
    <t>This checkpoint tests whether the organisation has addressed the risk of execution of unauthorised software, as required under RBI Cyber Security Framework for Banks  / Clause Annex 1 – Control 2.1. It is a auto preventive control; the auditor's objective is to independently verify that the stated control has been designed and implemented as described, and is operating effectively to bring the high inherent risk down to an acceptable residual level.</t>
  </si>
  <si>
    <t>Confirm that maintain an up-to-date centralised inventory of authorised/unauthorised software.</t>
  </si>
  <si>
    <t>1. Review software inventory for completeness.
2. Verify whitelisting is configured on endpoints and servers.
3. Test by attempting to run a non-whitelisted application.</t>
  </si>
  <si>
    <t>Software inventory register; whitelisting configuration evidence</t>
  </si>
  <si>
    <t>System-generated alerts and reports are monitored by CISO / IT, in line with the defined periodicity (Ongoing); exceptions are escalated for corrective action.</t>
  </si>
  <si>
    <t>Annex 1 – Control 2.2</t>
  </si>
  <si>
    <t>Uncontrolled software installation on end-user devices</t>
  </si>
  <si>
    <t>Prevent installation and execution of unauthorised applications on bank devices.</t>
  </si>
  <si>
    <t>Have mechanism to centrally control software/application installation on end-user PCs, laptops, workstations, servers, mobile devices; block/prevent and identify unauthorised software.</t>
  </si>
  <si>
    <t>This checkpoint tests whether the organisation has addressed the risk of uncontrolled software installation on end-user devices, as required under RBI Cyber Security Framework for Banks  / Clause Annex 1 – Control 2.2. It is a auto preventive control; the auditor's objective is to independently verify that the stated control has been designed and implemented as described, and is operating effectively to bring the high inherent risk down to an acceptable residual level.</t>
  </si>
  <si>
    <t>Confirm that have mechanism to centrally control software/application installation on end-user PCs, laptops, workstations, servers, mobile devices.</t>
  </si>
  <si>
    <t>1. Verify endpoint management solution is deployed and configured.
2. Attempt installation of unauthorised software and confirm blocking.
3. Review logs for unauthorised installation attempts.</t>
  </si>
  <si>
    <t>Endpoint management tool configuration; software restriction policy</t>
  </si>
  <si>
    <t>Annex 1 – Control 2.3</t>
  </si>
  <si>
    <t>Delayed or missed security patching</t>
  </si>
  <si>
    <t>Minimise vulnerability exposure by applying security patches in a timely and risk-based manner.</t>
  </si>
  <si>
    <t>Continuously monitor patch releases by vendors/OEMs and CERT-In advisories; apply security patches per patch management policy; use emergency patch management process for actively exploited vulnerabilities.</t>
  </si>
  <si>
    <t>This checkpoint tests whether the organisation has addressed the risk of delayed or missed security patching, as required under RBI Cyber Security Framework for Banks  / Clause Annex 1 – Control 2.3. It is a semi-auto preventive control; the auditor's objective is to independently verify that the stated control has been designed and implemented as described, and is operating effectively to bring the high inherent risk down to an acceptable residual level.</t>
  </si>
  <si>
    <t>Confirm that continuously monitor patch releases by vendors/OEMs and CERT-In advisories.</t>
  </si>
  <si>
    <t>1. Review patch management policy for SLAs including emergency patching.
2. Inspect patch compliance reports for critical systems.
3. Verify CERT-In advisory monitoring and response records.
4. Sample a recent critical patch for timely application evidence.</t>
  </si>
  <si>
    <t>Ongoing; emergency patches applied within defined SLA</t>
  </si>
  <si>
    <t>Patch management policy; patch compliance reports; CERT-In advisory tracking log</t>
  </si>
  <si>
    <t>System-generated reports reviewed periodically alongside manual verification by CISO / IT, in line with the defined periodicity (Ongoing; emergency patches applied within defined SLA); deviations reported for corrective action.</t>
  </si>
  <si>
    <t>Annex 1 – Control 2.4</t>
  </si>
  <si>
    <t>Uncontrolled exceptions to security software controls</t>
  </si>
  <si>
    <t>Ensure exceptions to security controls are justified, time-bound, and approved at an appropriate level.</t>
  </si>
  <si>
    <t>Maintain a clearly defined exception framework covering justification requirements, duration, approval authority (senior level), and periodic review of exceptions.</t>
  </si>
  <si>
    <t>This checkpoint tests whether the organisation has addressed the risk of uncontrolled exceptions to security software controls, as required under RBI Cyber Security Framework for Banks  / Clause Annex 1 – Control 2.4. It is a manual preventive control; the auditor's objective is to independently verify that the stated control has been designed and implemented as described, and is operating effectively to bring the medium inherent risk down to an acceptable residual level.</t>
  </si>
  <si>
    <t>Confirm that maintain a clearly defined exception framework covering justification requirements, duration, approval authority (senior level), and periodic review of exceptions.</t>
  </si>
  <si>
    <t>1. Review exception management policy.
2. Inspect exception register for completeness (justification, duration, approver).
3. Verify periodic review of open exceptions by senior officers.</t>
  </si>
  <si>
    <t>CISO / Senior Management</t>
  </si>
  <si>
    <t>Per exception; periodic review</t>
  </si>
  <si>
    <t>Exception management policy; exception register with approvals</t>
  </si>
  <si>
    <t>Manual review and sign-off by CISO / Senior Management, in line with the defined periodicity (Per exception; periodic review); exceptions/deviations escalated for corrective action.</t>
  </si>
  <si>
    <t>ISM-004</t>
  </si>
  <si>
    <t>Baseline Controls – Environmental Controls</t>
  </si>
  <si>
    <t>Annex 1 – Control 3.1</t>
  </si>
  <si>
    <t>Physical and environmental threats to critical assets</t>
  </si>
  <si>
    <t>Protect critical IT assets from physical and environmental hazards.</t>
  </si>
  <si>
    <t>Put in place appropriate environmental controls for securing the location of critical assets and providing protection from natural and man-made threats.</t>
  </si>
  <si>
    <t>This checkpoint tests whether the organisation has addressed the risk of physical and environmental threats to critical assets, as required under RBI Cyber Security Framework for Banks  / Clause Annex 1 – Control 3.1. It is a semi-auto preventive control; the auditor's objective is to independently verify that the stated control has been designed and implemented as described, and is operating effectively to bring the high inherent risk down to an acceptable residual level.</t>
  </si>
  <si>
    <t>Confirm that put in place appropriate environmental controls for securing the location of critical assets and providing protection from natural and man-made threats.</t>
  </si>
  <si>
    <t>1. Review physical and environmental security policy.
2. Inspect critical asset locations for implemented controls.
3. Review site inspection reports for compliance.</t>
  </si>
  <si>
    <t>Physical and environmental security policy; site inspection reports</t>
  </si>
  <si>
    <t>Annex 1 – Control 3.2</t>
  </si>
  <si>
    <t>Undetected breaches of environmental controls</t>
  </si>
  <si>
    <t>Detect and respond to environmental control breaches in a timely manner.</t>
  </si>
  <si>
    <t>Put in place mechanisms for monitoring of breaches/compromises of environmental controls (temperature, water, smoke, access alarms, power, telecom, servers) and maintain access logs; implement appropriate physical security measures.</t>
  </si>
  <si>
    <t>This checkpoint tests whether the organisation has addressed the risk of undetected breaches of environmental controls, as required under RBI Cyber Security Framework for Banks  / Clause Annex 1 – Control 3.2. It is a auto detective control; the auditor's objective is to independently verify that the stated control has been designed and implemented as described, and is operating effectively to bring the high inherent risk down to an acceptable residual level.</t>
  </si>
  <si>
    <t>Confirm that put in place mechanisms for monitoring of breaches/compromises of environmental controls (temperature, water, smoke, access alarms, power, telecom, servers) and maintain access logs.</t>
  </si>
  <si>
    <t>1. Verify environmental monitoring systems are deployed and alerting is active.
2. Review sample access logs and CCTV records.
3. Test alerts for temperature/power anomalies.</t>
  </si>
  <si>
    <t>Environmental monitoring system alerts; access logs; CCTV records</t>
  </si>
  <si>
    <t>System-generated alerts and reports are monitored by Head of IT / Facilities, in line with the defined periodicity (Ongoing); exceptions are escalated for corrective action.</t>
  </si>
  <si>
    <t>ISM-005</t>
  </si>
  <si>
    <t>Baseline Controls – Network Management</t>
  </si>
  <si>
    <t>Annex 1 – Control 4.1</t>
  </si>
  <si>
    <t>Outdated or incomplete network architecture documentation</t>
  </si>
  <si>
    <t>Maintain an accurate, current view of the network to support security assessments and incident response.</t>
  </si>
  <si>
    <t>Prepare and maintain an up-to-date network architecture diagram at the organisation level including wired/wireless networks.</t>
  </si>
  <si>
    <t>This checkpoint tests whether the organisation has addressed the risk of outdated or incomplete network architecture documentation, as required under RBI Cyber Security Framework for Banks  / Clause Annex 1 – Control 4.1. It is a manual preventive control; the auditor's objective is to independently verify that the stated control has been designed and implemented as described, and is operating effectively to bring the medium inherent risk down to an acceptable residual level.</t>
  </si>
  <si>
    <t>Confirm that prepare and maintain an up-to-date network architecture diagram at the organisation level including wired/wireless networks.</t>
  </si>
  <si>
    <t>1. Obtain network architecture diagram.
2. Verify it covers both wired and wireless networks.
3. Confirm date of last update and review.</t>
  </si>
  <si>
    <t>Head of IT / Network Team</t>
  </si>
  <si>
    <t>Network architecture diagram with revision history</t>
  </si>
  <si>
    <t>Manual review and sign-off by Head of IT / Network Team, in line with the defined periodicity (Annual review; on change); exceptions/deviations escalated for corrective action.</t>
  </si>
  <si>
    <t>Annex 1 – Control 4.2–4.6</t>
  </si>
  <si>
    <t>Unauthorised devices connected to the bank's network</t>
  </si>
  <si>
    <t>Prevent unauthorised devices from connecting to and operating on the bank's network.</t>
  </si>
  <si>
    <t>Maintain a centralised inventory of all authorised network devices; automatically identify and block unauthorised device connections; implement controls for mobile devices (laptops, phones, tablets) to connect only when security requirements are met.</t>
  </si>
  <si>
    <t>This checkpoint tests whether the organisation has addressed the risk of unauthorised devices connected to the bank's network, as required under RBI Cyber Security Framework for Banks  / Clause Annex 1 – Control 4.2–4.6. It is a auto preventive control; the auditor's objective is to independently verify that the stated control has been designed and implemented as described, and is operating effectively to bring the high inherent risk down to an acceptable residual level.</t>
  </si>
  <si>
    <t>Confirm that maintain a centralised inventory of all authorised network devices.</t>
  </si>
  <si>
    <t>1. Review network device inventory for completeness.
2. Verify NAC solution is configured to block unauthorised devices.
3. Inspect logs for detected and blocked unauthorised connections.
4. Confirm mobile device security requirements are enforced.</t>
  </si>
  <si>
    <t>Network device inventory; NAC configuration; unauthorised device block logs</t>
  </si>
  <si>
    <t>Compliance</t>
  </si>
  <si>
    <t>Annex 1 – Control 4.7–4.10</t>
  </si>
  <si>
    <t>Inadequate network monitoring and boundary defences</t>
  </si>
  <si>
    <t>Detect network anomalies and maintain multi-layered perimeter defences.</t>
  </si>
  <si>
    <t>Detect and remedy unusual activities in systems, servers, network devices and endpoints; implement multi-layered boundary defences (firewalls, proxies, DMZ, IPS/IDS); filter inbound and outbound traffic; SOC to monitor network logs and escalate abnormal activity; define SOPs for major IT activities.</t>
  </si>
  <si>
    <t>This checkpoint tests whether the organisation has addressed the risk of inadequate network monitoring and boundary defences, as required under RBI Cyber Security Framework for Banks  / Clause Annex 1 – Control 4.7–4.10. It is a auto detective control; the auditor's objective is to independently verify that the stated control has been designed and implemented as described, and is operating effectively to bring the high inherent risk down to an acceptable residual level.</t>
  </si>
  <si>
    <t>Confirm that detect and remedy unusual activities in systems, servers, network devices and endpoints.</t>
  </si>
  <si>
    <t>1. Review firewall, IPS and IDS configuration for multi-layered defence.
2. Inspect SOC monitoring reports for abnormal activity escalations.
3. Review SOPs for IT activities including device connectivity.
4. Verify both inbound and outbound traffic filtering is enabled.</t>
  </si>
  <si>
    <t>CISO / SOC / Network Team</t>
  </si>
  <si>
    <t>Firewall, IPS/IDS configuration; SOC monitoring reports; network SOP documents</t>
  </si>
  <si>
    <t>System-generated alerts and reports are monitored by CISO / SOC / Network Team, in line with the defined periodicity (Ongoing); exceptions are escalated for corrective action.</t>
  </si>
  <si>
    <t>ITO-003</t>
  </si>
  <si>
    <t>Baseline Controls – Secure Configuration</t>
  </si>
  <si>
    <t>Annex 1 – Control 5.1–5.2</t>
  </si>
  <si>
    <t>Systems deployed without secure baseline configuration</t>
  </si>
  <si>
    <t>Ensure all devices are deployed and maintained with approved secure configurations.</t>
  </si>
  <si>
    <t>Document and apply baseline security configurations to all device categories (endpoints, mobile, OS, databases, applications, network/security devices) throughout the lifecycle; periodically evaluate critical device configurations and patch levels including DC, third-party hosted, and shared-infrastructure locations.</t>
  </si>
  <si>
    <t>This checkpoint tests whether the organisation has addressed the risk of systems deployed without secure baseline configuration, as required under RBI Cyber Security Framework for Banks  / Clause Annex 1 – Control 5.1–5.2. It is a semi-auto preventive control; the auditor's objective is to independently verify that the stated control has been designed and implemented as described, and is operating effectively to bring the high inherent risk down to an acceptable residual level.</t>
  </si>
  <si>
    <t>Confirm that document and apply baseline security configurations to all device categories (endpoints, mobile, OS, databases, applications, network/security devices) throughout the lifecycle.</t>
  </si>
  <si>
    <t>1. Review baseline configuration standards document.
2. Sample critical devices and compare configuration against baseline.
3. Verify periodic evaluation of third-party hosted and DC configurations.
4. Inspect patch level compliance.</t>
  </si>
  <si>
    <t>On deployment; periodic review</t>
  </si>
  <si>
    <t>Baseline configuration standards; configuration compliance reports</t>
  </si>
  <si>
    <t>System-generated reports reviewed periodically alongside manual verification by CISO / IT, in line with the defined periodicity (On deployment; periodic review); deviations reported for corrective action.</t>
  </si>
  <si>
    <t>AST-001</t>
  </si>
  <si>
    <t>Application &amp; Infrastructure Security Testing</t>
  </si>
  <si>
    <t>Baseline Controls – Application Security</t>
  </si>
  <si>
    <t>Annex 1 – Control 6.1–6.4</t>
  </si>
  <si>
    <t>Security not embedded across the application life cycle</t>
  </si>
  <si>
    <t>Ensure applications are developed and acquired with security built in from the outset.</t>
  </si>
  <si>
    <t>Incorporate information security across all stages of the application life cycle; specify security requirements (access control, authentication, authorisation, data integrity, audit trail, session management) at development/acquisition stage; consider source code audits for critical business applications.</t>
  </si>
  <si>
    <t>This checkpoint tests whether the organisation has addressed the risk of security not embedded across the application life cycle, as required under RBI Cyber Security Framework for Banks  / Clause Annex 1 – Control 6.1–6.4. It is a manual preventive control; the auditor's objective is to independently verify that the stated control has been designed and implemented as described, and is operating effectively to bring the high inherent risk down to an acceptable residual level.</t>
  </si>
  <si>
    <t>Confirm that incorporate information security across all stages of the application life cycle.</t>
  </si>
  <si>
    <t>1. Review Secure SDLC policy.
2. Sample recent applications and verify security requirements were specified.
3. Inspect source code audit reports for critical applications.
4. Confirm security testing was conducted pre-deployment.</t>
  </si>
  <si>
    <t>CISO / Application Owners / CTO</t>
  </si>
  <si>
    <t>Per development/acquisition cycle</t>
  </si>
  <si>
    <t>Secure SDLC policy; security requirements specifications; source code audit reports</t>
  </si>
  <si>
    <t>Manual review and sign-off by CISO / Application Owners / CTO, in line with the defined periodicity (Per development/acquisition cycle); exceptions/deviations escalated for corrective action.</t>
  </si>
  <si>
    <t>Annex 1 – Control 6.5–6.7</t>
  </si>
  <si>
    <t>Insecure application development practices</t>
  </si>
  <si>
    <t>Prevent vulnerabilities in applications through secure coding practices and environmental controls.</t>
  </si>
  <si>
    <t>Segregate development, test and production environments; base development on threat modelling, secure coding principles and global security testing standards (OWASP); apply defence-in-depth.</t>
  </si>
  <si>
    <t>This checkpoint tests whether the organisation has addressed the risk of insecure application development practices, as required under RBI Cyber Security Framework for Banks  / Clause Annex 1 – Control 6.5–6.7. It is a manual preventive control; the auditor's objective is to independently verify that the stated control has been designed and implemented as described, and is operating effectively to bring the high inherent risk down to an acceptable residual level.</t>
  </si>
  <si>
    <t>Confirm that segregate development, test and production environments.</t>
  </si>
  <si>
    <t>1. Verify dev, test and production environments are segregated.
2. Review threat models for recent applications.
3. Inspect OWASP checklist compliance or equivalent security testing evidence.
4. Confirm defence-in-depth controls are implemented.</t>
  </si>
  <si>
    <t>CTO / Development Team</t>
  </si>
  <si>
    <t>Environment segregation evidence; threat model documents; OWASP compliance records</t>
  </si>
  <si>
    <t>Manual review and sign-off by CTO / Development Team, in line with the defined periodicity (Ongoing); exceptions/deviations escalated for corrective action.</t>
  </si>
  <si>
    <t>Annex 1 – Control 6.8–6.9</t>
  </si>
  <si>
    <t>Mobile application and new technology security risks</t>
  </si>
  <si>
    <t>Secure mobile banking applications and ensure new technologies are assessed before production deployment.</t>
  </si>
  <si>
    <t>Implement containerised/encrypted apps on mobile devices for business use with remote wipe capability; evaluate new technologies for security threats before deploying to critical systems.</t>
  </si>
  <si>
    <t>This checkpoint tests whether the organisation has addressed the risk of mobile application and new technology security risks, as required under RBI Cyber Security Framework for Banks  / Clause Annex 1 – Control 6.8–6.9. It is a semi-auto preventive control; the auditor's objective is to independently verify that the stated control has been designed and implemented as described, and is operating effectively to bring the medium inherent risk down to an acceptable residual level.</t>
  </si>
  <si>
    <t>Confirm that implement containerised/encrypted apps on mobile devices for business use with remote wipe capability.</t>
  </si>
  <si>
    <t>1. Review MDM configuration for containerisation and remote wipe capability.
2. Inspect security assessments for recently adopted technologies.
3. Confirm IT/security team sign-off before production deployment.</t>
  </si>
  <si>
    <t>On new technology adoption; periodic review</t>
  </si>
  <si>
    <t>Mobile device management configuration; containerisation evidence; new technology security assessment reports</t>
  </si>
  <si>
    <t>System-generated reports reviewed periodically alongside manual verification by CISO / CTO, in line with the defined periodicity (On new technology adoption; periodic review); deviations reported for corrective action.</t>
  </si>
  <si>
    <t>ITO-004</t>
  </si>
  <si>
    <t>Baseline Controls – Patch &amp; Change Mgmt</t>
  </si>
  <si>
    <t>Annex 1 – Control 7.1–7.3</t>
  </si>
  <si>
    <t>Unmanaged vulnerabilities and changes to IT systems</t>
  </si>
  <si>
    <t>Minimise attack surface and system instability through disciplined patch and change management.</t>
  </si>
  <si>
    <t>Follow a documented risk-based patch management strategy; track patch status for OS, applications, servers and middleware; manage changes using robust configuration management processes with integrity baseline.</t>
  </si>
  <si>
    <t>This checkpoint tests whether the organisation has addressed the risk of unmanaged vulnerabilities and changes to IT systems, as required under RBI Cyber Security Framework for Banks  / Clause Annex 1 – Control 7.1–7.3. It is a semi-auto preventive control; the auditor's objective is to independently verify that the stated control has been designed and implemented as described, and is operating effectively to bring the high inherent risk down to an acceptable residual level.</t>
  </si>
  <si>
    <t>Confirm that follow a documented risk-based patch management strategy.</t>
  </si>
  <si>
    <t>1. Review patch management strategy document.
2. Inspect patch tracking reports for completeness across all system types.
3. Sample recent changes for configuration management compliance.
4. Review CAB meeting minutes for oversight evidence.</t>
  </si>
  <si>
    <t>CISO / Change Advisory Board</t>
  </si>
  <si>
    <t>Patch management policy; patch tracking reports; change management records; CAB minutes</t>
  </si>
  <si>
    <t>System-generated reports reviewed periodically alongside manual verification by CISO / Change Advisory Board, in line with the defined periodicity (Ongoing); deviations reported for corrective action.</t>
  </si>
  <si>
    <t>ISM-006</t>
  </si>
  <si>
    <t>Baseline Controls – Access Control</t>
  </si>
  <si>
    <t>Annex 1 – Control 8.1–8.5</t>
  </si>
  <si>
    <t>Unauthorised or excessive access to bank systems and data</t>
  </si>
  <si>
    <t>Restrict access to bank systems and data to authorised users based on least privilege.</t>
  </si>
  <si>
    <t>Provide secure access with data protection at rest (encryption) and in transit (VPN/secure protocols); implement centralised authentication and authorisation with strong password policy, MFA (risk-based), least privilege, and separation of duties; implement PAM for privileged/admin accounts on critical systems.</t>
  </si>
  <si>
    <t>This checkpoint tests whether the organisation has addressed the risk of unauthorised or excessive access to bank systems and data, as required under RBI Cyber Security Framework for Banks  / Clause Annex 1 – Control 8.1–8.5. It is a semi-auto preventive control; the auditor's objective is to independently verify that the stated control has been designed and implemented as described, and is operating effectively to bring the high inherent risk down to an acceptable residual level.</t>
  </si>
  <si>
    <t>Confirm that provide secure access with data protection at rest (encryption) and in transit (VPN/secure protocols).</t>
  </si>
  <si>
    <t>1. Review access control policy for least privilege and separation of duties.
2. Verify MFA is enforced based on risk assessment.
3. Inspect PAM tool configuration and privileged access logs.
4. Verify periodic privileged access review is conducted.</t>
  </si>
  <si>
    <t>Access control policy; MFA configuration evidence; PAM tool logs; privileged access review records</t>
  </si>
  <si>
    <t>Annex 1 – Control 8.6–8.10</t>
  </si>
  <si>
    <t>Weak or unmonitored logon controls and endpoint restrictions</t>
  </si>
  <si>
    <t>Prevent account abuse and endpoint security incidents through logon monitoring and endpoint restrictions.</t>
  </si>
  <si>
    <t>Implement controls to minimise invalid logon attempts, deactivate dormant accounts, monitor abnormal logon patterns; restrict software installation on PCs/laptops; implement remote wipe/lock for mobile devices; control VBA/macros and email attachment types.</t>
  </si>
  <si>
    <t>This checkpoint tests whether the organisation has addressed the risk of weak or unmonitored logon controls and endpoint restrictions, as required under RBI Cyber Security Framework for Banks  / Clause Annex 1 – Control 8.6–8.10. It is a auto detective control; the auditor's objective is to independently verify that the stated control has been designed and implemented as described, and is operating effectively to bring the high inherent risk down to an acceptable residual level.</t>
  </si>
  <si>
    <t>Confirm that implement controls to minimise invalid logon attempts, deactivate dormant accounts, monitor abnormal logon patterns.</t>
  </si>
  <si>
    <t>1. Verify controls for invalid logon attempt limits and account lockout.
2. Review dormant account deactivation process and recent records.
3. Inspect logon anomaly monitoring reports.
4. Confirm software restriction and MDM remote wipe configuration.</t>
  </si>
  <si>
    <t>Account management reports; dormant account review records; endpoint policy configuration; MDM configuration</t>
  </si>
  <si>
    <t>CUP-001</t>
  </si>
  <si>
    <t>Customer Protection</t>
  </si>
  <si>
    <t>Baseline Controls – Customer Authentication</t>
  </si>
  <si>
    <t>Annex 1 – Control 9.1–9.3</t>
  </si>
  <si>
    <t>Weak customer authentication enabling identity fraud</t>
  </si>
  <si>
    <t>Ensure customers can positively identify the bank and are themselves authenticated securely.</t>
  </si>
  <si>
    <t>Implement authentication framework/mechanism for positive identity verification of bank to customers; keep customer identity information secure; act as identity provider for customer authentication to partner systems using secure technologies.</t>
  </si>
  <si>
    <t>This checkpoint tests whether the organisation has addressed the risk of weak customer authentication enabling identity fraud, as required under RBI Cyber Security Framework for Banks  / Clause Annex 1 – Control 9.1–9.3.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</si>
  <si>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authentication framework/mechanism for positive identity verification of bank to customers.</t>
  </si>
  <si>
    <t>1. Review customer authentication framework.
2. Test authentication mechanism for mutual identity verification.
3. Verify customer identity information is stored securely.
4. Inspect partner system access agreements for authentication standards.</t>
  </si>
  <si>
    <t>CISO / Digital Channels Team</t>
  </si>
  <si>
    <t>Ongoing; reviewed on new product launch</t>
  </si>
  <si>
    <t>Customer authentication framework document; authentication mechanism configuration; partner access agreements</t>
  </si>
  <si>
    <t>System-generated reports reviewed periodically alongside manual verification by CISO / Digital Channels Team, in line with the defined periodicity (Ongoing; reviewed on new product launch); deviations reported for corrective action.</t>
  </si>
  <si>
    <t>CUP-002</t>
  </si>
  <si>
    <t>Baseline Controls – Secure Messaging</t>
  </si>
  <si>
    <t>Annex 1 – Control 10.1–10.2</t>
  </si>
  <si>
    <t>Email spoofing, phishing and malicious attachment risks</t>
  </si>
  <si>
    <t>Prevent email-based attacks including spoofing, phishing and malicious payloads.</t>
  </si>
  <si>
    <t>Implement secure mail and messaging systems with controls to prevent email spoofing, identical domain fraud, protection of attachments and malicious links; document and implement email server-specific controls.</t>
  </si>
  <si>
    <t>This checkpoint tests whether the organisation has addressed the risk of email spoofing, phishing and malicious attachment risks, as required under RBI Cyber Security Framework for Banks  / Clause Annex 1 – Control 10.1–10.2. It is a auto preventive control; the auditor's objective is to independently verify that the stated control has been designed and implemented as described, and is operating effectively to bring the high inherent risk down to an acceptable residual level.</t>
  </si>
  <si>
    <t>Confirm that implement secure mail and messaging systems with controls to prevent email spoofing, identical domain fraud, protection of attachments and malicious links.</t>
  </si>
  <si>
    <t>1. Review email security gateway configuration.
2. Verify DMARC, DKIM and SPF records are configured.
3. Inspect email server control documentation.
4. Test anti-phishing and attachment scanning controls.</t>
  </si>
  <si>
    <t>Email security gateway configuration; anti-spoofing records (DMARC/DKIM/SPF); email server control documentation</t>
  </si>
  <si>
    <t>TPR-001</t>
  </si>
  <si>
    <t>Third-Party / Outsourcing Risk</t>
  </si>
  <si>
    <t>Baseline Controls – Vendor Risk Mgmt</t>
  </si>
  <si>
    <t>Annex 1 – Control 11.1–11.5</t>
  </si>
  <si>
    <t>Security risks in outsourced and third-party arrangements</t>
  </si>
  <si>
    <t>Manage cyber and information security risks arising from third-party and outsourced arrangements.</t>
  </si>
  <si>
    <t>Ensure accountability for security risks in outsourced arrangements; evaluate outsourcing need and vendor selection through comprehensive risk assessment; conduct regular due diligence on third parties; establish vendor risk management framework; ensure service providers comply with regulatory/legal requirements; contracts to include right of audit and regulatory inspection.</t>
  </si>
  <si>
    <t>This checkpoint tests whether the organisation has addressed the risk of security risks in outsourced and third-party arrangements, as required under RBI Cyber Security Framework for Banks  / Clause Annex 1 – Control 11.1–11.5. It is a manual preventive control; the auditor's objective is to independently verify that the stated control has been designed and implemented as described, and is operating effectively to bring the high inherent risk down to an acceptable residual level.</t>
  </si>
  <si>
    <t>Confirm that ensure accountability for security risks in outsourced arrangements.</t>
  </si>
  <si>
    <t>1. Review vendor risk management framework.
2. Sample vendor risk assessments for completeness.
3. Inspect contracts for audit rights and regulatory compliance clauses.
4. Verify periodic due diligence is conducted.</t>
  </si>
  <si>
    <t>CISO / Procurement / Risk</t>
  </si>
  <si>
    <t>Annual due diligence; on onboarding</t>
  </si>
  <si>
    <t>Vendor risk assessment reports; due diligence records; contracts with audit rights clause; SLAs</t>
  </si>
  <si>
    <t>Manual review and sign-off by CISO / Procurement / Risk, in line with the defined periodicity (Annual due diligence; on onboarding); exceptions/deviations escalated for corrective action.</t>
  </si>
  <si>
    <t>ISM-007</t>
  </si>
  <si>
    <t>Baseline Controls – Removable Media</t>
  </si>
  <si>
    <t>Annex 1 – Control 12.1–12.5</t>
  </si>
  <si>
    <t>Data theft or malware introduction via removable media/BYOD</t>
  </si>
  <si>
    <t>Prevent data exfiltration and malware introduction via unauthorised removable media.</t>
  </si>
  <si>
    <t>Define and implement policy restricting removable media/BYOD use; limit media types and data transfer; scan removable media for malware/anti-virus before access; use centralised policies (Active Directory/endpoint management) to whitelist/blacklist/restrict removable media; default to disabling removable devices unless specifically authorised.</t>
  </si>
  <si>
    <t>This checkpoint tests whether the organisation has addressed the risk of data theft or malware introduction via removable media/BYOD, as required under RBI Cyber Security Framework for Banks  / Clause Annex 1 – Control 12.1–12.5. It is a auto preventive control; the auditor's objective is to independently verify that the stated control has been designed and implemented as described, and is operating effectively to bring the high inherent risk down to an acceptable residual level.</t>
  </si>
  <si>
    <t>Confirm that define and implement policy restricting removable media/BYOD use.</t>
  </si>
  <si>
    <t>1. Review removable media/BYOD policy.
2. Verify endpoint policy configuration blocks/restricts removable media by default.
3. Inspect malware scan logs for removable media.
4. Confirm authorisation process exists for approved use.</t>
  </si>
  <si>
    <t>Removable media policy; endpoint management configuration; malware scan logs</t>
  </si>
  <si>
    <t>ISM-008</t>
  </si>
  <si>
    <t>Baseline Controls – Threat Defence</t>
  </si>
  <si>
    <t>Annex 1 – Control 13.1–13.4</t>
  </si>
  <si>
    <t>Malware infection and advanced threat execution</t>
  </si>
  <si>
    <t>Detect and block malware and advanced threats across all entry points.</t>
  </si>
  <si>
    <t>Build robust defence against malicious code at multiple points; deploy anti-malware and anti-virus with behavioural detection for all device categories (endpoints, servers, web/email gateways, wireless, SMS); centralised management and monitoring; whitelist internet websites/systems; implement secure web gateways with deep packet inspection including HTTPS traffic.</t>
  </si>
  <si>
    <t>This checkpoint tests whether the organisation has addressed the risk of malware infection and advanced threat execution, as required under RBI Cyber Security Framework for Banks  / Clause Annex 1 – Control 13.1–13.4. It is a auto detective control; the auditor's objective is to independently verify that the stated control has been designed and implemented as described, and is operating effectively to bring the high inherent risk down to an acceptable residual level.</t>
  </si>
  <si>
    <t>Confirm that build robust defence against malicious code at multiple points.</t>
  </si>
  <si>
    <t>1. Verify anti-malware is deployed on all device categories.
2. Inspect centralised management console for coverage and update status.
3. Review internet whitelist/blacklist configuration.
4. Confirm deep packet inspection including HTTPS traffic is active.</t>
  </si>
  <si>
    <t>Ongoing; signature updates continuous</t>
  </si>
  <si>
    <t>Anti-malware deployment reports; centralised console monitoring; web gateway configuration; deep packet inspection evidence</t>
  </si>
  <si>
    <t>System-generated alerts and reports are monitored by CISO / IT, in line with the defined periodicity (Ongoing; signature updates continuous); exceptions are escalated for corrective action.</t>
  </si>
  <si>
    <t>CUP-003</t>
  </si>
  <si>
    <t>Baseline Controls – Anti-Phishing</t>
  </si>
  <si>
    <t>Annex 1 – Control 14.1</t>
  </si>
  <si>
    <t>Active phishing websites and rogue applications targeting customers</t>
  </si>
  <si>
    <t>Protect customers from phishing sites and rogue apps by detecting and removing them promptly.</t>
  </si>
  <si>
    <t>Subscribe to anti-phishing/anti-rogue app services from external service providers for identifying and taking down phishing websites and rogue applications.</t>
  </si>
  <si>
    <t>This checkpoint tests whether the organisation has addressed the risk of active phishing websites and rogue applications targeting customers, as required under RBI Cyber Security Framework for Banks  / Clause Annex 1 – Control 14.1. It is a semi-auto detective control; the auditor's objective is to independently verify that the stated control has been designed and implemented as described, and is operating effectively to bring the high inherent risk down to an acceptable residual level.</t>
  </si>
  <si>
    <t>Confirm that subscribe to anti-phishing/anti-rogue app services from external service providers for identifying and taking down phishing websites and rogue applications.</t>
  </si>
  <si>
    <t>1. Verify subscription to anti-phishing/anti-rogue app service.
2. Inspect takedown request records and success metrics.
3. Review phishing incident log for timely response.</t>
  </si>
  <si>
    <t>Anti-phishing service subscription; takedown records; phishing incident log</t>
  </si>
  <si>
    <t>System-generated reports reviewed periodically alongside manual verification by CISO / Digital Channels Team, in line with the defined periodicity (Ongoing); deviations reported for corrective action.</t>
  </si>
  <si>
    <t>ISM-009</t>
  </si>
  <si>
    <t>Baseline Controls – Data Loss Prevention</t>
  </si>
  <si>
    <t>Annex 1 – Control 15.1–15.3</t>
  </si>
  <si>
    <t>Sensitive data exfiltration from endpoints, transit or servers</t>
  </si>
  <si>
    <t>Prevent unauthorised exfiltration of sensitive business and customer data.</t>
  </si>
  <si>
    <t>Develop a comprehensive data loss/leakage prevention strategy covering endpoint devices, data in transmission, and data at rest (servers/digital stores, online and offline); ensure similar DLP arrangements at vendor-managed facilities.</t>
  </si>
  <si>
    <t>This checkpoint tests whether the organisation has addressed the risk of sensitive data exfiltration from endpoints, transit or servers, as required under RBI Cyber Security Framework for Banks  / Clause Annex 1 – Control 15.1–15.3. It is a auto detective control; the auditor's objective is to independently verify that the stated control has been designed and implemented as described, and is operating effectively to bring the high inherent risk down to an acceptable residual level.</t>
  </si>
  <si>
    <t>Confirm that develop a comprehensive data loss/leakage prevention strategy covering endpoint devices, data in transmission, and data at rest (servers/digital stores, online and offline).</t>
  </si>
  <si>
    <t>1. Review DLP strategy document.
2. Verify DLP tool is deployed for endpoints, transmission and storage.
3. Inspect DLP monitoring reports for alerts and incidents.
4. Confirm vendor-managed facilities have equivalent DLP controls.</t>
  </si>
  <si>
    <t>DLP strategy document; DLP tool deployment and monitoring reports; vendor DLP compliance evidence</t>
  </si>
  <si>
    <t>ITO-005</t>
  </si>
  <si>
    <t>Baseline Controls – Audit Logs</t>
  </si>
  <si>
    <t>Annex 1 – Control 16.1–16.3</t>
  </si>
  <si>
    <t>Inadequate audit log collection and analysis</t>
  </si>
  <si>
    <t>Enable detection and investigation of security incidents through comprehensive, well-managed audit logs.</t>
  </si>
  <si>
    <t>Consult stakeholders to finalise log scope, frequency and storage; manage and analyse audit logs systematically to detect, understand and recover from attacks; capture user action logs to facilitate forensic auditing.</t>
  </si>
  <si>
    <t>This checkpoint tests whether the organisation has addressed the risk of inadequate audit log collection and analysis, as required under RBI Cyber Security Framework for Banks  / Clause Annex 1 – Control 16.1–16.3. It is a auto detective control; the auditor's objective is to independently verify that the stated control has been designed and implemented as described, and is operating effectively to bring the high inherent risk down to an acceptable residual level.</t>
  </si>
  <si>
    <t>Confirm that consult stakeholders to finalise log scope, frequency and storage.</t>
  </si>
  <si>
    <t>1. Review log management policy for scope, retention and monitoring frequency.
2. Inspect log monitoring reports for coverage and anomaly detection.
3. Verify user action logs support forensic investigation.
4. Test retrieval of logs for a sample event.</t>
  </si>
  <si>
    <t>Log management policy; log monitoring reports; forensic audit trail samples</t>
  </si>
  <si>
    <t>Annex 1 – Control 17.1</t>
  </si>
  <si>
    <t>Incomplete or inaccurate audit trail settings</t>
  </si>
  <si>
    <t>Ensure logs contain sufficient detail for security monitoring, incident response and forensic analysis.</t>
  </si>
  <si>
    <t>Implement and periodically validate log capture settings for all devices, system software and applications; ensure logs include minimum identifiers (date, timestamp, source/destination addresses, and other relevant elements per packet/event/transaction).</t>
  </si>
  <si>
    <t>This checkpoint tests whether the organisation has addressed the risk of incomplete or inaccurate audit trail settings, as required under RBI Cyber Security Framework for Banks  / Clause Annex 1 – Control 17.1. It is a semi-auto detective control; the auditor's objective is to independently verify that the stated control has been designed and implemented as described, and is operating effectively to bring the high inherent risk down to an acceptable residual level.</t>
  </si>
  <si>
    <t>Confirm that implement and periodically validate log capture settings for all devices, system software and applications.</t>
  </si>
  <si>
    <t>1. Review log configuration settings on a sample of critical systems.
2. Verify logs include required minimum fields (timestamp, source/destination, event details).
3. Confirm periodic validation of log settings is performed.</t>
  </si>
  <si>
    <t>Periodic validation</t>
  </si>
  <si>
    <t>Log configuration review records; sample log entries</t>
  </si>
  <si>
    <t>System-generated reports reviewed periodically alongside manual verification by CISO / IT, in line with the defined periodicity (Periodic validation); deviations reported for corrective action.</t>
  </si>
  <si>
    <t>AST-002</t>
  </si>
  <si>
    <t>Baseline Controls – VA/PT &amp; Red Team</t>
  </si>
  <si>
    <t>Annex 1 – Control 18.1–18.6</t>
  </si>
  <si>
    <t>Undetected vulnerabilities in critical and internet-facing systems</t>
  </si>
  <si>
    <t>Identify and remediate vulnerabilities through independent testing and simulated attack exercises.</t>
  </si>
  <si>
    <t>Periodically conduct VA/PT for all critical systems, particularly internet-facing; remediate detected vulnerabilities promptly; conduct penetration testing by professionally qualified teams; monitor VA/PT findings closely through IS/IT Audit and Senior Management; use Red Teams to simulate attacker objectives; participate in CERT-In/IDRBT cyber drills.</t>
  </si>
  <si>
    <t>This checkpoint tests whether the organisation has addressed the risk of undetected vulnerabilities in critical and internet-facing systems, as required under RBI Cyber Security Framework for Banks  / Clause Annex 1 – Control 18.1–18.6. It is a semi-auto detective control; the auditor's objective is to independently verify that the stated control has been designed and implemented as described, and is operating effectively to bring the high inherent risk down to an acceptable residual level.</t>
  </si>
  <si>
    <t>Confirm that periodically conduct VA/PT for all critical systems, particularly internet-facing.</t>
  </si>
  <si>
    <t>1. Review VA/PT schedule and recent reports for all critical/internet-facing systems.
2. Verify remediation tracker for timely closure of findings.
3. Confirm penetration testing was conducted by professionally qualified teams.
4. Inspect Red Team exercise reports and Senior Management review evidence.
5. Verify participation in CERT-In/IDRBT cyber drills.</t>
  </si>
  <si>
    <t>CISO / IS Audit / Senior Management</t>
  </si>
  <si>
    <t>Periodic VA/PT; annual Red Team; periodic cyber drills</t>
  </si>
  <si>
    <t>VA/PT reports; remediation tracker; Red Team exercise reports; cyber drill participation records</t>
  </si>
  <si>
    <t>System-generated reports reviewed periodically alongside manual verification by CISO / IS Audit / Senior Management, in line with the defined periodicity (Periodic VA/PT; annual Red Team; periodic cyber drills); deviations reported for corrective action.</t>
  </si>
  <si>
    <t>CFI-001</t>
  </si>
  <si>
    <t>Cyber Fraud &amp; Incident Management</t>
  </si>
  <si>
    <t>Baseline Controls – Incident Response</t>
  </si>
  <si>
    <t>Annex 1 – Control 19.1–19.3</t>
  </si>
  <si>
    <t>Inadequate or delayed cyber incident response</t>
  </si>
  <si>
    <t>Ensure the bank can respond rapidly and effectively to cyber incidents with clear roles and communication.</t>
  </si>
  <si>
    <t>Maintain a Board/Top Management-approved Incident Response programme with written procedures, roles, response strategies for various scenarios, consistent stakeholder communication, and a mechanism to incorporate lessons learnt.</t>
  </si>
  <si>
    <t>This checkpoint tests whether the organisation has addressed the risk of inadequate or delayed cyber incident response, as required under RBI Cyber Security Framework for Banks  / Clause Annex 1 – Control 19.1–19.3. It is a manual corrective control; the auditor's objective is to independently verify that the stated control has been designed and implemented as described, and is operating effectively to bring the high inherent risk down to an acceptable residual level.</t>
  </si>
  <si>
    <t>Confirm that maintain a Board/Top Management-approved Incident Response programme with written procedures, roles, response strategies for various scenarios, consistent stakeholder communication, and a mechanism to incorporate lessons learnt.</t>
  </si>
  <si>
    <t>1. Review incident response plan for Board/management approval.
2. Verify written procedures cover various incident scenarios.
3. Inspect communication plan sections.
4. Review lessons-learnt records from past incidents or drills.</t>
  </si>
  <si>
    <t>Board/management-approved incident response plan; incident response procedure documents; lessons-learnt records</t>
  </si>
  <si>
    <t>Manual review and sign-off by CISO / Incident Response Team, in line with the defined periodicity (Ongoing; periodic drills); exceptions/deviations escalated for corrective action.</t>
  </si>
  <si>
    <t>Annex 1 – Control 19.4–19.6</t>
  </si>
  <si>
    <t>Inadequate cyber recovery capability and BCP/DR alignment</t>
  </si>
  <si>
    <t>Ensure the bank can recover critical operations rapidly and securely after a cyber incident.</t>
  </si>
  <si>
    <t>Ensure BCP/DR capabilities support cyber resilience objectives and enable rapid secure recovery; extend capabilities to vendors and partners; test through collaborative resilience exercises including crisis communication and reputation management; plan adequate capacity.</t>
  </si>
  <si>
    <t>This checkpoint tests whether the organisation has addressed the risk of inadequate cyber recovery capability and BCP/DR alignment, as required under RBI Cyber Security Framework for Banks  / Clause Annex 1 – Control 19.4–19.6. It is a semi-auto corrective control; the auditor's objective is to independently verify that the stated control has been designed and implemented as described, and is operating effectively to bring the high inherent risk down to an acceptable residual level.</t>
  </si>
  <si>
    <t>Confirm that ensure BCP/DR capabilities support cyber resilience objectives and enable rapid secure recovery.</t>
  </si>
  <si>
    <t>1. Review BCP/DR plan for cyber resilience alignment.
2. Inspect collaborative resilience test reports including vendor/partner participation.
3. Verify crisis communication testing is included in exercises.
4. Confirm capacity planning for recovery resources is documented.</t>
  </si>
  <si>
    <t>CISO / Head of IT / BCP Manager</t>
  </si>
  <si>
    <t>Annual testing; post major incident</t>
  </si>
  <si>
    <t>BCP/DR plan with cyber alignment; collaborative resilience test reports; crisis communication test records</t>
  </si>
  <si>
    <t>System-generated reports reviewed periodically alongside manual verification by CISO / Head of IT / BCP Manager, in line with the defined periodicity (Annual testing; post major incident); deviations reported for corrective action.</t>
  </si>
  <si>
    <t>ISM-010</t>
  </si>
  <si>
    <t>Baseline Controls – Transaction Monitoring</t>
  </si>
  <si>
    <t>Annex 1 – Control 20.1–20.2</t>
  </si>
  <si>
    <t>Undetected fraudulent transactions across delivery channels</t>
  </si>
  <si>
    <t>Detect and alert on fraudulent or anomalous transactions across all delivery channels.</t>
  </si>
  <si>
    <t>Implement risk-based transaction monitoring/surveillance as part of fraud risk management across all delivery channels; notify customers via alternate channels of all payment/fund transfer transactions above a customer-defined threshold.</t>
  </si>
  <si>
    <t>This checkpoint tests whether the organisation has addressed the risk of undetected fraudulent transactions across delivery channels, as required under RBI Cyber Security Framework for Banks  / Clause Annex 1 – Control 20.1–20.2. It is a auto detective control; the auditor's objective is to independently verify that the stated control has been designed and implemented as described, and is operating effectively to bring the high inherent risk down to an acceptable residual level.</t>
  </si>
  <si>
    <t>Confirm that implement risk-based transaction monitoring/surveillance as part of fraud risk management across all delivery channels.</t>
  </si>
  <si>
    <t>1. Review transaction monitoring system configuration for risk-based rules.
2. Verify coverage across all delivery channels.
3. Inspect customer notification logs for transactions above threshold.
4. Review fraud alert reports for effectiveness.</t>
  </si>
  <si>
    <t>CISO / Fraud Risk / Operations</t>
  </si>
  <si>
    <t>Transaction monitoring system configuration; fraud alert reports; customer notification logs</t>
  </si>
  <si>
    <t>System-generated alerts and reports are monitored by CISO / Fraud Risk / Operations, in line with the defined periodicity (Ongoing); exceptions are escalated for corrective action.</t>
  </si>
  <si>
    <t>AUD-002</t>
  </si>
  <si>
    <t>Baseline Controls – Metrics</t>
  </si>
  <si>
    <t>Annex 1 – Control 21.1–21.2</t>
  </si>
  <si>
    <t>No measurable cyber security performance indicators</t>
  </si>
  <si>
    <t>Enable management to assess cyber security performance and risk levels through measurable indicators.</t>
  </si>
  <si>
    <t>Develop comprehensive metrics including prospective and retrospective measures (KPIs and KRIs) such as anti-malware coverage, patch latency, user awareness training extent, and vulnerability-related metrics.</t>
  </si>
  <si>
    <t>This checkpoint tests whether the organisation has addressed the risk of no measurable cyber security performance indicators, as required under RBI Cyber Security Framework for Banks  / Clause Annex 1 – Control 21.1–21.2. It is a semi-auto detective control; the auditor's objective is to independently verify that the stated control has been designed and implemented as described, and is operating effectively to bring the medium inherent risk down to an acceptable residual level.</t>
  </si>
  <si>
    <t>Confirm that develop comprehensive metrics including prospective and retrospective measures (KPIs and KRIs) such as anti-malware coverage, patch latency, user awareness training extent, and vulnerability-related metrics.</t>
  </si>
  <si>
    <t>1. Review cyber security metrics framework.
2. Inspect KPI/KRI dashboard for completeness and currency.
3. Verify metrics are reviewed by Senior Management at defined intervals.</t>
  </si>
  <si>
    <t>Quarterly or as defined</t>
  </si>
  <si>
    <t>Cyber security metrics dashboard; KPI/KRI reports</t>
  </si>
  <si>
    <t>System-generated reports reviewed periodically alongside manual verification by CISO / Senior Management, in line with the defined periodicity (Quarterly or as defined); deviations reported for corrective action.</t>
  </si>
  <si>
    <t>CFI-002</t>
  </si>
  <si>
    <t>Baseline Controls – Forensics</t>
  </si>
  <si>
    <t>Annex 1 – Control 22.1–22.2</t>
  </si>
  <si>
    <t>Lack of forensic investigation capability</t>
  </si>
  <si>
    <t>Ensure the bank can conduct forensic investigations and mitigate DDoS attacks effectively.</t>
  </si>
  <si>
    <t>Maintain network forensics, forensic investigation and DDoS mitigation services on standby; participate periodically in cyber drills under CERT-In/IDRBT.</t>
  </si>
  <si>
    <t>This checkpoint tests whether the organisation has addressed the risk of lack of forensic investigation capability, as required under RBI Cyber Security Framework for Banks  / Clause Annex 1 – Control 22.1–22.2. It is a manual corrective control; the auditor's objective is to independently verify that the stated control has been designed and implemented as described, and is operating effectively to bring the high inherent risk down to an acceptable residual level.</t>
  </si>
  <si>
    <t>Confirm that maintain network forensics, forensic investigation and DDoS mitigation services on standby.</t>
  </si>
  <si>
    <t>1. Verify forensic investigation capability or service agreement is in place.
2. Confirm DDoS mitigation service is on standby.
3. Review cyber drill participation records.</t>
  </si>
  <si>
    <t>Ongoing standby; periodic drills</t>
  </si>
  <si>
    <t>Forensic service agreement/capability documentation; cyber drill participation records</t>
  </si>
  <si>
    <t>Manual review and sign-off by CISO / Incident Response Team, in line with the defined periodicity (Ongoing standby; periodic drills); exceptions/deviations escalated for corrective action.</t>
  </si>
  <si>
    <t>ISM-011</t>
  </si>
  <si>
    <t>Baseline Controls – Employee Awareness</t>
  </si>
  <si>
    <t>Annex 1 – Control 23.1–23.5</t>
  </si>
  <si>
    <t>Staff not aware of cyber risks, enabling social engineering and insider threats</t>
  </si>
  <si>
    <t>Build a cyber-aware culture by ensuring all staff understand and comply with security policies.</t>
  </si>
  <si>
    <t>Define and communicate security policies to all users, vendors and partners; encourage reporting of suspicious incidents; conduct targeted awareness and training for key personnel; evaluate awareness levels periodically; make cyber security awareness mandatory for new recruits; conduct annual web-based training for all management levels.</t>
  </si>
  <si>
    <t>This checkpoint tests whether the organisation has addressed the risk of staff not aware of cyber risks, enabling social engineering and insider threats, as required under RBI Cyber Security Framework for Banks  / Clause Annex 1 – Control 23.1–23.5. It is a manual preventive control; the auditor's objective is to independently verify that the stated control has been designed and implemented as described, and is operating effectively to bring the high inherent risk down to an acceptable residual level.</t>
  </si>
  <si>
    <t>Confirm that define and communicate security policies to all users, vendors and partners.</t>
  </si>
  <si>
    <t>1. Verify security policy has been communicated to all staff, vendors and partners.
2. Inspect training records for new recruits and annual management training.
3. Review periodic awareness assessment results.
4. Confirm targeted training for key personnel (executive, operations, security) is conducted.</t>
  </si>
  <si>
    <t>CISO / HR</t>
  </si>
  <si>
    <t>Ongoing; annual mandatory training</t>
  </si>
  <si>
    <t>Security policy acknowledgement records; training completion records; awareness assessment results</t>
  </si>
  <si>
    <t>Manual review and sign-off by CISO / HR, in line with the defined periodicity (Ongoing; annual mandatory training); exceptions/deviations escalated for corrective action.</t>
  </si>
  <si>
    <t>Annex 1 – Control 23.6–23.7</t>
  </si>
  <si>
    <t>Board members not adequately sensitised on cyber security</t>
  </si>
  <si>
    <t>Ensure Board members have sufficient cyber security awareness to provide effective oversight.</t>
  </si>
  <si>
    <t>Periodically sensitise Board members on technological and cyber security developments; provide formal IT Risk / Cyber Security Risk training programmes covering all Board members at least once a year.</t>
  </si>
  <si>
    <t>This checkpoint tests whether the organisation has addressed the risk of board members not adequately sensitised on cyber security, as required under RBI Cyber Security Framework for Banks  / Clause Annex 1 – Control 23.6–23.7. It is a manual preventive control; the auditor's objective is to independently verify that the stated control has been designed and implemented as described, and is operating effectively to bring the high inherent risk down to an acceptable residual level.</t>
  </si>
  <si>
    <t>Confirm that periodically sensitise Board members on technological and cyber security developments.</t>
  </si>
  <si>
    <t>1. Inspect Board training/sensitisation records.
2. Confirm all Board members have received training in the current year.
3. Review training content for relevance to current threats and best practices.</t>
  </si>
  <si>
    <t>CISO / Company Secretary</t>
  </si>
  <si>
    <t>At least annual</t>
  </si>
  <si>
    <t>Board cyber security training records; sensitisation programme agenda</t>
  </si>
  <si>
    <t>Manual review and sign-off by CISO / Company Secretary, in line with the defined periodicity (At least annual); exceptions/deviations escalated for corrective action.</t>
  </si>
  <si>
    <t>CUP-004</t>
  </si>
  <si>
    <t>Baseline Controls – Customer Awareness</t>
  </si>
  <si>
    <t>Annex 1 – Control 24.1–24.3</t>
  </si>
  <si>
    <t>Customers unaware of cyber risks, enabling account takeover and fraud</t>
  </si>
  <si>
    <t>Empower customers to protect themselves from cyber threats and promptly report suspicious activity.</t>
  </si>
  <si>
    <t>Improve and maintain customer awareness and education on cyber security risks; encourage customers to report phishing mails and sites and take effective remedial action; educate customers on risks of sharing login credentials/passwords with third parties.</t>
  </si>
  <si>
    <t>This checkpoint tests whether the organisation has addressed the risk of customers unaware of cyber risks, enabling account takeover and fraud, as required under RBI Cyber Security Framework for Banks  / Clause Annex 1 – Control 24.1–24.3. It is a manual preventive control; the auditor's objective is to independently verify that the stated control has been designed and implemented as described, and is operating effectively to bring the medium inherent risk down to an acceptable residual level.</t>
  </si>
  <si>
    <t>Confirm that improve and maintain customer awareness and education on cyber security risks.</t>
  </si>
  <si>
    <t>1. Review customer awareness programme and communication materials.
2. Verify a phishing reporting mechanism is available to customers.
3. Inspect records of remedial action taken on phishing reports.
4. Confirm customer communications cover credential-sharing risks.</t>
  </si>
  <si>
    <t>CISO / Customer Service / Marketing</t>
  </si>
  <si>
    <t>Customer awareness campaign materials; phishing reporting mechanism; customer communication records</t>
  </si>
  <si>
    <t>Manual review and sign-off by CISO / Customer Service / Marketing, in line with the defined periodicity (Ongoing); exceptions/deviations escalated for corrective action.</t>
  </si>
  <si>
    <t>ISM-012</t>
  </si>
  <si>
    <t>Cyber Security Preparedness</t>
  </si>
  <si>
    <t>Para 13</t>
  </si>
  <si>
    <t>No measurable indicators to assess cyber resilience and preparedness</t>
  </si>
  <si>
    <t>Provide management with objective measures of cyber resilience and preparedness.</t>
  </si>
  <si>
    <t>Develop indicators to assess the level of risk/preparedness; use them for comprehensive testing through independent compliance checks and audits by qualified professionals; include stakeholder (including employee) awareness as part of the assessment.</t>
  </si>
  <si>
    <t>This checkpoint tests whether the organisation has addressed the risk of no measurable indicators to assess cyber resilience and preparedness, as required under RBI Cyber Security Framework for Banks  / Clause Para 13. It is a manual detective control; the auditor's objective is to independently verify that the stated control has been designed and implemented as described, and is operating effectively to bring the medium inherent risk down to an acceptable residual level.</t>
  </si>
  <si>
    <t>Confirm that develop indicators to assess the level of risk/preparedness.</t>
  </si>
  <si>
    <t>1. Review cyber preparedness indicator framework.
2. Verify independent compliance checks and audits are conducted by qualified professionals.
3. Inspect audit reports for coverage of all indicators.
4. Confirm employee awareness is included in the assessment scope.</t>
  </si>
  <si>
    <t>Annual assessment</t>
  </si>
  <si>
    <t>Cyber preparedness indicator framework; independent audit/compliance check reports; employee awareness assessment results</t>
  </si>
  <si>
    <t>Manual review and sign-off by CISO / IS Audit, in line with the defined periodicity (Annual assessment); exceptions/deviations escalated for corrective action.</t>
  </si>
  <si>
    <t>ITG-003</t>
  </si>
  <si>
    <t>Organisational Arrangements</t>
  </si>
  <si>
    <t>Para 17</t>
  </si>
  <si>
    <t>Security concerns not escalated appropriately within the organisation</t>
  </si>
  <si>
    <t>Ensure cyber security concerns are escalated and actioned at the right organisational level.</t>
  </si>
  <si>
    <t>Review organisational arrangements to ensure security concerns are appreciated, receive adequate attention, and get escalated to appropriate hierarchy levels for quick action.</t>
  </si>
  <si>
    <t>This checkpoint tests whether the organisation has addressed the risk of security concerns not escalated appropriately within the organisation, as required under RBI Cyber Security Framework for Banks  / Clause Para 17. It is a manual preventive control; the auditor's objective is to independently verify that the stated control has been designed and implemented as described, and is operating effectively to bring the high inherent risk down to an acceptable residual level.</t>
  </si>
  <si>
    <t>Confirm that review organisational arrangements to ensure security concerns are appreciated, receive adequate attention, and get escalated to appropriate hierarchy levels for quick action.</t>
  </si>
  <si>
    <t>1. Review current organisational structure for security reporting and escalation.
2. Inspect escalation procedures and confirm adequacy.
3. Sample recent security concerns and trace escalation path.</t>
  </si>
  <si>
    <t>Organisational structure for security escalation; escalation policy/procedure</t>
  </si>
  <si>
    <t>Manual review and sign-off by CEO / Board, in line with the defined periodicity (Annual review); exceptions/deviations escalated for corrective action.</t>
  </si>
  <si>
    <t>ITO-006</t>
  </si>
  <si>
    <t>Security Operations Centre (SOC)</t>
  </si>
  <si>
    <t>Annex 2 – Para 1–4</t>
  </si>
  <si>
    <t>Reactive-only security monitoring without proactive SOC capabilities</t>
  </si>
  <si>
    <t>Operate a proactive Cyber SOC that detects, investigates and responds to cyber incidents in real time.</t>
  </si>
  <si>
    <t>Establish a Cyber SOC with proactive monitoring; address root cause identification, incident investigation, forensics, deep packet analysis, dynamic behaviour analysis, IOC collection, analytics with geo-location dashboards, counter response and honeypot services; align with governance, technology, process and people requirements.</t>
  </si>
  <si>
    <t>This checkpoint tests whether the organisation has addressed the risk of reactive-only security monitoring without proactive SOC capabilities, as required under RBI Cyber Security Framework for Banks  / Clause Annex 2 – Para 1–4. It is a auto detective control; the auditor's objective is to independently verify that the stated control has been designed and implemented as described, and is operating effectively to bring the high inherent risk down to an acceptable residual level.</t>
  </si>
  <si>
    <t>Confirm that establish a Cyber SOC with proactive monitoring.</t>
  </si>
  <si>
    <t>1. Review SOC design document for proactive monitoring capabilities.
2. Verify SIEM is configured with relevant use cases and log sources.
3. Inspect governance dashboards for threat intelligence and incident metrics.
4. Confirm SOC addresses zero-day and unknown attacks.</t>
  </si>
  <si>
    <t>Ongoing (24x7 operations)</t>
  </si>
  <si>
    <t>SOC design document; SOC operational procedures; SIEM configuration; governance dashboards</t>
  </si>
  <si>
    <t>System-generated alerts and reports are monitored by CISO / Head of IT, in line with the defined periodicity (Ongoing (24x7 operations)); exceptions are escalated for corrective action.</t>
  </si>
  <si>
    <t>Annex 2 – Para 5 (Technology)</t>
  </si>
  <si>
    <t>Inadequate SOC technology framework</t>
  </si>
  <si>
    <t>Ensure the SOC is supported by a robust, scalable and effective technology stack.</t>
  </si>
  <si>
    <t>Implement suitable and cost-effective technology framework including: SIEM with appropriate architecture and use cases; security analytics engine; deep packet inspection (UTM solutions); malware detection and analysis tools; imaging/forensics solutions; address performance, scalability and high availability.</t>
  </si>
  <si>
    <t>This checkpoint tests whether the organisation has addressed the risk of inadequate SOC technology framework, as required under RBI Cyber Security Framework for Banks  / Clause Annex 2 – Para 5 (Technology). It is a auto detective control; the auditor's objective is to independently verify that the stated control has been designed and implemented as described, and is operating effectively to bring the high inherent risk down to an acceptable residual level.</t>
  </si>
  <si>
    <t>Confirm that implement suitable and cost-effective technology framework including: SIEM with appropriate architecture and use cases.</t>
  </si>
  <si>
    <t>1. Review SIEM architecture and use case documentation.
2. Verify security analytics and deep packet inspection tools are deployed.
3. Inspect malware analysis tool configuration.
4. Confirm high availability and scalability requirements are addressed.</t>
  </si>
  <si>
    <t>On setup; periodic review</t>
  </si>
  <si>
    <t>SIEM architecture document; security analytics tool evidence; deep packet inspection configuration; malware analysis tool evidence</t>
  </si>
  <si>
    <t>System-generated alerts and reports are monitored by CISO / CTO, in line with the defined periodicity (On setup; periodic review); exceptions are escalated for corrective action.</t>
  </si>
  <si>
    <t>Annex 2 – Para 5 (People)</t>
  </si>
  <si>
    <t>Inadequate SOC staffing and skill management</t>
  </si>
  <si>
    <t>Ensure the SOC is staffed with qualified personnel at all levels to sustain 24x7 operations.</t>
  </si>
  <si>
    <t>Staff SOC with competent personnel round the clock: Level 1 (trained monitoring staff with product certifications), Level 2 (specialists in network/data/endpoint security for root cause analysis), Level 3 (SoC analysts with deep packet analysis, IOC collection, forensics and malware reverse engineering); plan for staff retention, compensation and career development.</t>
  </si>
  <si>
    <t>This checkpoint tests whether the organisation has addressed the risk of inadequate SOC staffing and skill management, as required under RBI Cyber Security Framework for Banks  / Clause Annex 2 – Para 5 (People). It is a manual preventive control; the auditor's objective is to independently verify that the stated control has been designed and implemented as described, and is operating effectively to bring the high inherent risk down to an acceptable residual level.</t>
  </si>
  <si>
    <t>Confirm that staff SOC with competent personnel round the clock: Level 1 (trained monitoring staff with product certifications), Level 2 (specialists in network/data/endpoint security for root cause analysis), Level 3 (SoC analysts with deep packet analysis, IOC collection, forensics and malware reverse engineering).</t>
  </si>
  <si>
    <t>1. Review SOC staffing plan for Level 1/2/3 roles and 24x7 coverage.
2. Inspect personnel certifications and training records.
3. Verify retention and compensation strategy is documented.
4. Review capacity planning records.</t>
  </si>
  <si>
    <t>Ongoing; annual capacity review</t>
  </si>
  <si>
    <t>SOC staffing plan; personnel certifications; training records; capacity planning document</t>
  </si>
  <si>
    <t>Manual review and sign-off by CISO / HR, in line with the defined periodicity (Ongoing; annual capacity review); exceptions/deviations escalated for corrective action.</t>
  </si>
  <si>
    <t>ITG-004</t>
  </si>
  <si>
    <t>Governance</t>
  </si>
  <si>
    <t>CERT-In Comprehensive Cyber Security Audit Policy Guidelines v1.0 (Jul 2025)</t>
  </si>
  <si>
    <t>Sec 9.1.i</t>
  </si>
  <si>
    <t>Absence of management oversight on audit program</t>
  </si>
  <si>
    <t>Ensure top management ownership and accountability for cybersecurity audit outcomes</t>
  </si>
  <si>
    <t>Top management reviews and approves the annual audit program, scope, and remedial measures in a time-bound manner.</t>
  </si>
  <si>
    <t>This checkpoint tests whether the organisation has addressed the risk of absence of management oversight on audit program, as required under CERT-In Comprehensive Cyber Security Audit Policy Guidelines v1.0 (Jul 2025) / Clause Sec 9.1.i. It is a manual preventive control; the auditor's objective is to independently verify that the stated control has been designed and implemented as described, and is operating effectively to bring the high inherent risk down to an acceptable residual level.</t>
  </si>
  <si>
    <t>Confirm that top management reviews and approves the annual audit program, scope, and remedial measures in a time-bound manner.</t>
  </si>
  <si>
    <t>Review board minutes and audit program approval records; verify sign-off by authorized executive.</t>
  </si>
  <si>
    <t>CISO / Board</t>
  </si>
  <si>
    <t>Board-approved audit plan; MoM of review meeting</t>
  </si>
  <si>
    <t>Manual review and sign-off by CISO / Board, in line with the defined periodicity (Annual); exceptions/deviations escalated for corrective action.</t>
  </si>
  <si>
    <t>CERT-In Audit Policy Guidelines</t>
  </si>
  <si>
    <t>Sec 9.1.ii</t>
  </si>
  <si>
    <t>Confusion over accountability for cyber posture</t>
  </si>
  <si>
    <t>Clarify ownership of cybersecurity posture</t>
  </si>
  <si>
    <t>Responsibility for maintaining robust cyber security posture rests with the auditee organization, not the auditor.</t>
  </si>
  <si>
    <t>This checkpoint tests whether the organisation has addressed the risk of confusion over accountability for cyber posture, as required under CERT-In Audit Policy Guidelines / Clause Sec 9.1.ii. It is a manual preventive control; the auditor's objective is to independently verify that the stated control has been designed and implemented as described, and is operating effectively to bring the high inherent risk down to an acceptable residual level.</t>
  </si>
  <si>
    <t>Confirm that responsibility for maintaining robust cyber security posture rests with the auditee organization, not the auditor.</t>
  </si>
  <si>
    <t>Review RACI documents and engagement letters confirming auditee ownership.</t>
  </si>
  <si>
    <t>Auditee Management</t>
  </si>
  <si>
    <t>Written acknowledgement; RACI matrix</t>
  </si>
  <si>
    <t>Manual review and sign-off by Auditee Management, in line with the defined periodicity (Annual); exceptions/deviations escalated for corrective action.</t>
  </si>
  <si>
    <t>Sec 9.1.iii</t>
  </si>
  <si>
    <t>Disclosure of sensitive audit findings in public reports</t>
  </si>
  <si>
    <t>Prevent disclosure of sensitive security information</t>
  </si>
  <si>
    <t>Annual reports include audit frequency and broad scope but exclude confidential infrastructure details, vulnerabilities, or observations.</t>
  </si>
  <si>
    <t>This checkpoint tests whether the organisation has addressed the risk of disclosure of sensitive audit findings in public reports, as required under CERT-In Audit Policy Guidelines / Clause Sec 9.1.iii. It is a manual preventive control; the auditor's objective is to independently verify that the stated control has been designed and implemented as described, and is operating effectively to bring the medium inherent risk down to an acceptable residual level.</t>
  </si>
  <si>
    <t>Confirm that annual reports include audit frequency and broad scope but exclude confidential infrastructure details, vulnerabilities, or observations.</t>
  </si>
  <si>
    <t>Review annual report drafts for absence of sensitive infrastructure/vulnerability details.</t>
  </si>
  <si>
    <t>CISO / Legal</t>
  </si>
  <si>
    <t>Approved annual report excerpt; sanitization checklist</t>
  </si>
  <si>
    <t>Manual review and sign-off by CISO / Legal, in line with the defined periodicity (Annual); exceptions/deviations escalated for corrective action.</t>
  </si>
  <si>
    <t>Sec 9.1.iv</t>
  </si>
  <si>
    <t>Non-compliance with CERT-In advisories</t>
  </si>
  <si>
    <t>Ensure timely compliance with regulatory guidance</t>
  </si>
  <si>
    <t>Auditee implements CERT-In cybersecurity auditing advisories and directions as issued.</t>
  </si>
  <si>
    <t>This checkpoint tests whether the organisation has addressed the risk of non-compliance with CERT-In advisories, as required under CERT-In Audit Policy Guidelines / Clause Sec 9.1.iv. It is a manual preventive control; the auditor's objective is to independently verify that the stated control has been designed and implemented as described, and is operating effectively to bring the high inherent risk down to an acceptable residual level.</t>
  </si>
  <si>
    <t>Confirm that auditee implements CERT-In cybersecurity auditing advisories and directions as issued.</t>
  </si>
  <si>
    <t>Review advisory tracking log; verify each advisory has a documented response/implementation record.</t>
  </si>
  <si>
    <t>CISO</t>
  </si>
  <si>
    <t>Continuous</t>
  </si>
  <si>
    <t>CERT-In advisory log; implementation tracker</t>
  </si>
  <si>
    <t>Manual review and sign-off by CISO, in line with the defined periodicity (Continuous); exceptions/deviations escalated for corrective action.</t>
  </si>
  <si>
    <t>AUD-003</t>
  </si>
  <si>
    <t>Audit Planning</t>
  </si>
  <si>
    <t>Sec 13.1.1</t>
  </si>
  <si>
    <t>Incomplete audit scope leading to coverage gaps</t>
  </si>
  <si>
    <t>Define comprehensive, risk-based audit scope</t>
  </si>
  <si>
    <t>Audit scope includes entire ICT infrastructure: systems, web/mobile applications, network, OT/ICS, cloud, APIs, databases, code review, incident response capability.</t>
  </si>
  <si>
    <t>This checkpoint tests whether the organisation has addressed the risk of incomplete audit scope leading to coverage gaps, as required under CERT-In Audit Policy Guidelines / Clause Sec 13.1.1. It is a manual preventive control; the auditor's objective is to independently verify that the stated control has been designed and implemented as described, and is operating effectively to bring the high inherent risk down to an acceptable residual level.</t>
  </si>
  <si>
    <t>Confirm that audit scope includes entire ICT infrastructure: systems, web/mobile applications, network, OT/ICS, cloud, APIs, databases, code review, incident response capability.</t>
  </si>
  <si>
    <t>Cross-reference audit scope document against centralized asset inventory; verify no exclusions without documented justification.</t>
  </si>
  <si>
    <t>CISO / IT Manager</t>
  </si>
  <si>
    <t>Scope document signed by CISO; asset inventory alignment</t>
  </si>
  <si>
    <t>Manual review and sign-off by CISO / IT Manager, in line with the defined periodicity (Annual); exceptions/deviations escalated for corrective action.</t>
  </si>
  <si>
    <t>Sec 13.1.2</t>
  </si>
  <si>
    <t>Infrequent audits missing new vulnerabilities</t>
  </si>
  <si>
    <t>Ensure minimum audit frequency compliance</t>
  </si>
  <si>
    <t>Cyber security audit conducted at least once per year; additional audits triggered by major changes to infrastructure or applications.</t>
  </si>
  <si>
    <t>This checkpoint tests whether the organisation has addressed the risk of infrequent audits missing new vulnerabilities, as required under CERT-In Audit Policy Guidelines / Clause Sec 13.1.2. It is a manual preventive control; the auditor's objective is to independently verify that the stated control has been designed and implemented as described, and is operating effectively to bring the high inherent risk down to an acceptable residual level.</t>
  </si>
  <si>
    <t>Confirm that cyber security audit conducted at least once per year.</t>
  </si>
  <si>
    <t>Review audit schedule and change logs; confirm audits were triggered after major changes.</t>
  </si>
  <si>
    <t>Audit schedule; change management logs</t>
  </si>
  <si>
    <t>Manual review and sign-off by CISO, in line with the defined periodicity (Annual); exceptions/deviations escalated for corrective action.</t>
  </si>
  <si>
    <t>Sec 13.1.3</t>
  </si>
  <si>
    <t>Critical assets excluded from audit scope</t>
  </si>
  <si>
    <t>Ensure critical assets receive appropriate security testing</t>
  </si>
  <si>
    <t>Critical databases and applications identified and explicitly included in audit scope; critical apps include DAST and SAST.</t>
  </si>
  <si>
    <t>This checkpoint tests whether the organisation has addressed the risk of critical assets excluded from audit scope, as required under CERT-In Audit Policy Guidelines / Clause Sec 13.1.3. It is a manual preventive control; the auditor's objective is to independently verify that the stated control has been designed and implemented as described, and is operating effectively to bring the high inherent risk down to an acceptable residual level.</t>
  </si>
  <si>
    <t>Confirm that critical databases and applications identified and explicitly included in audit scope.</t>
  </si>
  <si>
    <t>Verify critical asset register exists; confirm each critical asset appears in audit scope and testing plan.</t>
  </si>
  <si>
    <t>IT Manager / CISO</t>
  </si>
  <si>
    <t>Critical asset register; DAST/SAST inclusion in scope</t>
  </si>
  <si>
    <t>Manual review and sign-off by IT Manager / CISO, in line with the defined periodicity (Annual); exceptions/deviations escalated for corrective action.</t>
  </si>
  <si>
    <t>Sec 13.1.7</t>
  </si>
  <si>
    <t>Absence of formal engagement agreement</t>
  </si>
  <si>
    <t>Establish legal and procedural framework for audit engagement</t>
  </si>
  <si>
    <t>NDA signed before audit commencement; engagement letter documents scope, criteria, timelines, escalation matrix, and remediation clause.</t>
  </si>
  <si>
    <t>This checkpoint tests whether the organisation has addressed the risk of absence of formal engagement agreement, as required under CERT-In Audit Policy Guidelines / Clause Sec 13.1.7. It is a manual preventive control; the auditor's objective is to independently verify that the stated control has been designed and implemented as described, and is operating effectively to bring the high inherent risk down to an acceptable residual level.</t>
  </si>
  <si>
    <t>Confirm that nDA signed before audit commencement.</t>
  </si>
  <si>
    <t>Review signed NDA and engagement letter; check all mandatory elements are present.</t>
  </si>
  <si>
    <t>Legal / CISO</t>
  </si>
  <si>
    <t>Per Engagement</t>
  </si>
  <si>
    <t>Signed NDA; executed engagement letter</t>
  </si>
  <si>
    <t>Manual review and sign-off by Legal / CISO, in line with the defined periodicity (Per Engagement); exceptions/deviations escalated for corrective action.</t>
  </si>
  <si>
    <t>AUD-004</t>
  </si>
  <si>
    <t>Compliance Audit</t>
  </si>
  <si>
    <t>CERT-In Audit Policy Guidelines / IT Act 2000 S.70B</t>
  </si>
  <si>
    <t>Sec 6.i; 8.iii</t>
  </si>
  <si>
    <t>Non-compliance with applicable regulatory standards</t>
  </si>
  <si>
    <t>Verify adherence to all applicable regulatory frameworks</t>
  </si>
  <si>
    <t>Compliance audit evaluates adherence to CERT-In Cyber Security Audit Baseline Requirements, ISO/IEC 27001:2022, RBI IT Governance MD, DPDP Act, and sector-specific regulations.</t>
  </si>
  <si>
    <t>This checkpoint tests whether the organisation has addressed the risk of non-compliance with applicable regulatory standards, as required under CERT-In Audit Policy Guidelines / IT Act 2000 S.70B / Clause Sec 6.i; 8.iii. It is a manual detective control; the auditor's objective is to independently verify that the stated control has been designed and implemented as described, and is operating effectively to bring the critical inherent risk down to an acceptable residual level.</t>
  </si>
  <si>
    <t>Confirm that compliance audit evaluates adherence to CERT-In Cyber Security Audit Baseline Requirements, ISO/IEC 27001:2022, RBI IT Governance MD, DPDP Act, and sector-specific regulations.</t>
  </si>
  <si>
    <t>Review audit report for coverage of all applicable frameworks; cross-check regulatory mapping matrix.</t>
  </si>
  <si>
    <t>CISO / Compliance</t>
  </si>
  <si>
    <t>Compliance audit report; regulatory mapping matrix</t>
  </si>
  <si>
    <t>Manual review and sign-off by CISO / Compliance, in line with the defined periodicity (Annual); exceptions/deviations escalated for corrective action.</t>
  </si>
  <si>
    <t>Critical</t>
  </si>
  <si>
    <t>Sec 8.ii</t>
  </si>
  <si>
    <t>Shallow audit based on OWASP Top 10 only</t>
  </si>
  <si>
    <t>Ensure comprehensive vulnerability discovery beyond abbreviated lists</t>
  </si>
  <si>
    <t>Audits cover all known vulnerabilities per comprehensive frameworks (ISO/IEC, OSSTMM3, OWASP WSTG, OWASP ASVS, OWASP MSTG, CSA CCM, DevSecOps Maturity Model). OWASP Top 10 / SANS Top 25 used as supplementary reference only.</t>
  </si>
  <si>
    <t>This checkpoint tests whether the organisation has addressed the risk of shallow audit based on OWASP Top 10 only, as required under CERT-In Audit Policy Guidelines / Clause Sec 8.ii. It is a manual preventive control; the auditor's objective is to independently verify that the stated control has been designed and implemented as described, and is operating effectively to bring the high inherent risk down to an acceptable residual level.</t>
  </si>
  <si>
    <t>Confirm that audits cover all known vulnerabilities per comprehensive frameworks (ISO/IEC, OSSTMM3, OWASP WSTG, OWASP ASVS, OWASP MSTG, CSA CCM, DevSecOps Maturity Model). OWASP Top 10 / SANS Top 25 used as supplementary reference only.</t>
  </si>
  <si>
    <t>Review audit methodology to confirm comprehensive framework use; reject reports limited to top-N lists.</t>
  </si>
  <si>
    <t>Auditing Org</t>
  </si>
  <si>
    <t>Audit methodology document; framework mapping</t>
  </si>
  <si>
    <t>Manual review and sign-off by Auditing Org, in line with the defined periodicity (Annual); exceptions/deviations escalated for corrective action.</t>
  </si>
  <si>
    <t>Sec 8.v</t>
  </si>
  <si>
    <t>PII-handling systems missing 282-point checklist</t>
  </si>
  <si>
    <t>Mandatory compliance verification for PII-handling government systems</t>
  </si>
  <si>
    <t>For Ministries/Departments/critical platforms handling sensitive PII, compliance verified against MeitY Comprehensive Audit Program Checklist (282 control points).</t>
  </si>
  <si>
    <t>This checkpoint tests whether the organisation has addressed the risk of pII-handling systems missing 282-point checklist, as required under CERT-In Audit Policy Guidelines / Clause Sec 8.v. It is a manual detective control; the auditor's objective is to independently verify that the stated control has been designed and implemented as described, and is operating effectively to bring the critical inherent risk down to an acceptable residual level.</t>
  </si>
  <si>
    <t>Confirm that for Ministries/Departments/critical platforms handling sensitive PII, compliance verified against MeitY Comprehensive Audit Program Checklist (282 control points).</t>
  </si>
  <si>
    <t>Verify 282-point checklist completion with evidence for each control; confirm sign-off by lead auditor.</t>
  </si>
  <si>
    <t>CISO / DPO</t>
  </si>
  <si>
    <t>Completed 282-point checklist; evidence for each control point</t>
  </si>
  <si>
    <t>Manual review and sign-off by CISO / DPO, in line with the defined periodicity (Annual); exceptions/deviations escalated for corrective action.</t>
  </si>
  <si>
    <t>Sec 8.vi</t>
  </si>
  <si>
    <t>Policies not benchmarked against industry standards</t>
  </si>
  <si>
    <t>Align organizational policies with best practices</t>
  </si>
  <si>
    <t>Auditing organization verifies existing security policies against industry standards and recommends necessary improvements.</t>
  </si>
  <si>
    <t>This checkpoint tests whether the organisation has addressed the risk of policies not benchmarked against industry standards, as required under CERT-In Audit Policy Guidelines / Clause Sec 8.vi. It is a manual detective control; the auditor's objective is to independently verify that the stated control has been designed and implemented as described, and is operating effectively to bring the medium inherent risk down to an acceptable residual level.</t>
  </si>
  <si>
    <t>Confirm that auditing organization verifies existing security policies against industry standards and recommends necessary improvements.</t>
  </si>
  <si>
    <t>Review policy gap analysis in audit report; verify recommendations are documented.</t>
  </si>
  <si>
    <t>CISO / Policy Owner</t>
  </si>
  <si>
    <t>Policy review report; gap analysis with recommendations</t>
  </si>
  <si>
    <t>Manual review and sign-off by CISO / Policy Owner, in line with the defined periodicity (Annual); exceptions/deviations escalated for corrective action.</t>
  </si>
  <si>
    <t>RSK-002</t>
  </si>
  <si>
    <t>Risk Assessment</t>
  </si>
  <si>
    <t>Sec 6.ii</t>
  </si>
  <si>
    <t>Unidentified cyber threats impacting operations</t>
  </si>
  <si>
    <t>Identify and quantify cybersecurity risks to the organization</t>
  </si>
  <si>
    <t>Risk assessment identifies and evaluates risks from cyber threats, vulnerabilities, and potential attacks; includes likelihood and impact analysis.</t>
  </si>
  <si>
    <t>This checkpoint tests whether the organisation has addressed the risk of unidentified cyber threats impacting operations, as required under CERT-In Audit Policy Guidelines / Clause Sec 6.ii. It is a manual detective control; the auditor's objective is to independently verify that the stated control has been designed and implemented as described, and is operating effectively to bring the high inherent risk down to an acceptable residual level.</t>
  </si>
  <si>
    <t>Confirm that risk assessment identifies and evaluates risks from cyber threats, vulnerabilities, and potential attacks.</t>
  </si>
  <si>
    <t>Review risk register for completeness; verify threat scenarios cover relevant threat actors and vectors for the organization's sector.</t>
  </si>
  <si>
    <t>CISO / Risk Manager</t>
  </si>
  <si>
    <t>Annual / Trigger</t>
  </si>
  <si>
    <t>Risk register; threat landscape analysis; risk treatment plan</t>
  </si>
  <si>
    <t>Manual review and sign-off by CISO / Risk Manager, in line with the defined periodicity (Annual / Trigger); exceptions/deviations escalated for corrective action.</t>
  </si>
  <si>
    <t>Sec 9.2.i</t>
  </si>
  <si>
    <t>Unmanaged vulnerabilities without formal risk treatment</t>
  </si>
  <si>
    <t>Ensure formal executive authorization for all risk treatment decisions</t>
  </si>
  <si>
    <t>Risk treatment decisions (retain, avoid, transfer, reduce) for all reported vulnerabilities authorized by head of auditee organization.</t>
  </si>
  <si>
    <t>This checkpoint tests whether the organisation has addressed the risk of unmanaged vulnerabilities without formal risk treatment, as required under CERT-In Audit Policy Guidelines / Clause Sec 9.2.i. It is a manual preventive control; the auditor's objective is to independently verify that the stated control has been designed and implemented as described, and is operating effectively to bring the high inherent risk down to an acceptable residual level.</t>
  </si>
  <si>
    <t>Confirm that risk treatment decisions (retain, avoid, transfer, reduce) for all reported vulnerabilities authorized by head of auditee organization.</t>
  </si>
  <si>
    <t>Review risk treatment records; verify head-of-organization sign-off for each vulnerability treatment decision.</t>
  </si>
  <si>
    <t>CEO / CISO</t>
  </si>
  <si>
    <t>Per Finding</t>
  </si>
  <si>
    <t>Risk treatment approval records signed by head of organization</t>
  </si>
  <si>
    <t>Manual review and sign-off by CEO / CISO, in line with the defined periodicity (Per Finding); exceptions/deviations escalated for corrective action.</t>
  </si>
  <si>
    <t>Sec 9.2.ii</t>
  </si>
  <si>
    <t>Exceptions to observations without accountability</t>
  </si>
  <si>
    <t>Maintain executive accountability for accepted risks</t>
  </si>
  <si>
    <t>Exceptions to audit observations authorized only by the head of the organization owning the application.</t>
  </si>
  <si>
    <t>This checkpoint tests whether the organisation has addressed the risk of exceptions to observations without accountability, as required under CERT-In Audit Policy Guidelines / Clause Sec 9.2.ii. It is a manual preventive control; the auditor's objective is to independently verify that the stated control has been designed and implemented as described, and is operating effectively to bring the high inherent risk down to an acceptable residual level.</t>
  </si>
  <si>
    <t>Confirm that exceptions to audit observations authorized only by the head of the organization owning the application.</t>
  </si>
  <si>
    <t>Verify all exception records carry head-of-organization signature; check for time-bound review provisions.</t>
  </si>
  <si>
    <t>CEO / Application Owner</t>
  </si>
  <si>
    <t>Per Exception</t>
  </si>
  <si>
    <t>Signed exception approval with justification and review date</t>
  </si>
  <si>
    <t>Manual review and sign-off by CEO / Application Owner, in line with the defined periodicity (Per Exception); exceptions/deviations escalated for corrective action.</t>
  </si>
  <si>
    <t>Sec 13.1.2.iii</t>
  </si>
  <si>
    <t>Major changes deployed without security risk assessment</t>
  </si>
  <si>
    <t>Prevent introduction of new vulnerabilities through unaudited changes</t>
  </si>
  <si>
    <t>Major changes (system overhauls, technology migrations, security-affecting configuration changes) undergo cyber security audit before implementation.</t>
  </si>
  <si>
    <t>This checkpoint tests whether the organisation has addressed the risk of major changes deployed without security risk assessment, as required under CERT-In Audit Policy Guidelines / Clause Sec 13.1.2.iii. It is a manual preventive control; the auditor's objective is to independently verify that the stated control has been designed and implemented as described, and is operating effectively to bring the high inherent risk down to an acceptable residual level.</t>
  </si>
  <si>
    <t>Confirm that major changes (system overhauls, technology migrations, security-affecting configuration changes) undergo cyber security audit before implementation.</t>
  </si>
  <si>
    <t>Review change management logs; verify each major change has an associated security assessment or audit record.</t>
  </si>
  <si>
    <t>Change Manager / CISO</t>
  </si>
  <si>
    <t>Per Major Change</t>
  </si>
  <si>
    <t>Change log with security audit trigger records; CAB approvals</t>
  </si>
  <si>
    <t>Manual review and sign-off by Change Manager / CISO, in line with the defined periodicity (Per Major Change); exceptions/deviations escalated for corrective action.</t>
  </si>
  <si>
    <t>AST-003</t>
  </si>
  <si>
    <t>VAPT</t>
  </si>
  <si>
    <t>Sec 6.iii</t>
  </si>
  <si>
    <t>Security deficiencies undetected in production systems</t>
  </si>
  <si>
    <t>Systematically identify and prioritize security vulnerabilities</t>
  </si>
  <si>
    <t>Vulnerability assessments examine information systems to determine adequacy of security measures, identify deficiencies, and confirm remediation effectiveness.</t>
  </si>
  <si>
    <t>This checkpoint tests whether the organisation has addressed the risk of security deficiencies undetected in production systems, as required under CERT-In Audit Policy Guidelines / Clause Sec 6.iii. It is a manual detective control; the auditor's objective is to independently verify that the stated control has been designed and implemented as described, and is operating effectively to bring the critical inherent risk down to an acceptable residual level.</t>
  </si>
  <si>
    <t>Confirm that vulnerability assessments examine information systems to determine adequacy of security measures, identify deficiencies, and confirm remediation effectiveness.</t>
  </si>
  <si>
    <t>Review VA report methodology; confirm CVSS scoring, EPSS supplementation, CVE/CWE mapping for all findings.</t>
  </si>
  <si>
    <t>CISO / Auditing Org</t>
  </si>
  <si>
    <t>Annual / Post-change</t>
  </si>
  <si>
    <t>VA report with CVSS and EPSS scores; remediation tracker</t>
  </si>
  <si>
    <t>Manual review and sign-off by CISO / Auditing Org, in line with the defined periodicity (Annual / Post-change); exceptions/deviations escalated for corrective action.</t>
  </si>
  <si>
    <t>Sec 6.iv; Def.xxii</t>
  </si>
  <si>
    <t>Exploitable vulnerabilities undetected before production</t>
  </si>
  <si>
    <t>Determine real-world exploitability of identified vulnerabilities</t>
  </si>
  <si>
    <t>Penetration testing actively tests individual components and the full application to identify and exploit vulnerabilities; determines exploitability and data access risk.</t>
  </si>
  <si>
    <t>This checkpoint tests whether the organisation has addressed the risk of exploitable vulnerabilities undetected before production, as required under CERT-In Audit Policy Guidelines / Clause Sec 6.iv; Def.xxii. It is a manual detective control; the auditor's objective is to independently verify that the stated control has been designed and implemented as described, and is operating effectively to bring the critical inherent risk down to an acceptable residual level.</t>
  </si>
  <si>
    <t>Confirm that penetration testing actively tests individual components and the full application to identify and exploit vulnerabilities.</t>
  </si>
  <si>
    <t>Verify pentest report includes active exploitation attempts, not just scanning; confirm staging/production environment is documented.</t>
  </si>
  <si>
    <t>Annual / Post-major change</t>
  </si>
  <si>
    <t>Pentest report; proof-of-concept evidence; exploitation narrative</t>
  </si>
  <si>
    <t>Manual review and sign-off by CISO / Auditing Org, in line with the defined periodicity (Annual / Post-major change); exceptions/deviations escalated for corrective action.</t>
  </si>
  <si>
    <t>Sec 5.xxiv; 16.2.ii</t>
  </si>
  <si>
    <t>Inconsistent vulnerability severity classification</t>
  </si>
  <si>
    <t>Standardized, comparable vulnerability classification</t>
  </si>
  <si>
    <t>All vulnerabilities classified using CVSS (severity) AND EPSS (exploitation likelihood); every finding mapped to CWE and CVE numbers.</t>
  </si>
  <si>
    <t>This checkpoint tests whether the organisation has addressed the risk of inconsistent vulnerability severity classification, as required under CERT-In Audit Policy Guidelines / Clause Sec 5.xxiv; 16.2.ii. It is a manual detective control; the auditor's objective is to independently verify that the stated control has been designed and implemented as described, and is operating effectively to bring the high inherent risk down to an acceptable residual level.</t>
  </si>
  <si>
    <t>Confirm that all vulnerabilities classified using CVSS (severity) AND EPSS (exploitation likelihood).</t>
  </si>
  <si>
    <t>Spot-check 10 findings in audit report for presence of CVSS base score, EPSS score, CWE ID, and CVE reference.</t>
  </si>
  <si>
    <t>Per Audit</t>
  </si>
  <si>
    <t>Audit report with CVSS scores, EPSS scores, CWE IDs, CVE references per finding</t>
  </si>
  <si>
    <t>Manual review and sign-off by Auditing Org, in line with the defined periodicity (Per Audit); exceptions/deviations escalated for corrective action.</t>
  </si>
  <si>
    <t>Sec 15.2.2.v</t>
  </si>
  <si>
    <t>Written approval absent for penetration tests</t>
  </si>
  <si>
    <t>Ensure authorized, controlled penetration testing</t>
  </si>
  <si>
    <t>Written approval obtained from auditee before penetration tests; tools installed in presence of auditee's system administrator.</t>
  </si>
  <si>
    <t>This checkpoint tests whether the organisation has addressed the risk of written approval absent for penetration tests, as required under CERT-In Audit Policy Guidelines / Clause Sec 15.2.2.v. It is a manual preventive control; the auditor's objective is to independently verify that the stated control has been designed and implemented as described, and is operating effectively to bring the high inherent risk down to an acceptable residual level.</t>
  </si>
  <si>
    <t>Confirm that written approval obtained from auditee before penetration tests.</t>
  </si>
  <si>
    <t>Verify signed pen-test authorization exists before any testing began; check tool installation log.</t>
  </si>
  <si>
    <t>CISO / System Admin</t>
  </si>
  <si>
    <t>Signed penetration test authorization letter; tool installation attendance record</t>
  </si>
  <si>
    <t>Manual review and sign-off by CISO / System Admin, in line with the defined periodicity (Per Engagement); exceptions/deviations escalated for corrective action.</t>
  </si>
  <si>
    <t>Sec 16.3.ii</t>
  </si>
  <si>
    <t>Critical/high vulnerabilities not escalated during audit</t>
  </si>
  <si>
    <t>Timely escalation of high-risk findings for immediate remediation</t>
  </si>
  <si>
    <t>Critical and high severity vulnerabilities reported to auditee immediately upon discovery during audit, not only in final report.</t>
  </si>
  <si>
    <t>This checkpoint tests whether the organisation has addressed the risk of critical/high vulnerabilities not escalated during audit, as required under CERT-In Audit Policy Guidelines / Clause Sec 16.3.ii. It is a manual detective control; the auditor's objective is to independently verify that the stated control has been designed and implemented as described, and is operating effectively to bring the critical inherent risk down to an acceptable residual level.</t>
  </si>
  <si>
    <t>Confirm that critical and high severity vulnerabilities reported to auditee immediately upon discovery during audit, not only in final report.</t>
  </si>
  <si>
    <t>Review audit communication records; confirm critical/high findings have pre-report escalation timestamps.</t>
  </si>
  <si>
    <t>Auditing Org / CISO</t>
  </si>
  <si>
    <t>Real-time escalation communications (email/ticket) timestamped before report submission</t>
  </si>
  <si>
    <t>Manual review and sign-off by Auditing Org / CISO, in line with the defined periodicity (Per Finding); exceptions/deviations escalated for corrective action.</t>
  </si>
  <si>
    <t>Sec 16.3.iii</t>
  </si>
  <si>
    <t>Vulnerability remediation timelines undefined</t>
  </si>
  <si>
    <t>Define prioritized remediation timelines for all findings</t>
  </si>
  <si>
    <t>Audit report specifies remediation timelines categorized by vulnerability severity (Critical, High, Medium, Low).</t>
  </si>
  <si>
    <t>This checkpoint tests whether the organisation has addressed the risk of vulnerability remediation timelines undefined, as required under CERT-In Audit Policy Guidelines / Clause Sec 16.3.iii. It is a manual preventive control; the auditor's objective is to independently verify that the stated control has been designed and implemented as described, and is operating effectively to bring the high inherent risk down to an acceptable residual level.</t>
  </si>
  <si>
    <t>Confirm that audit report specifies remediation timelines categorized by vulnerability severity (Critical, High, Medium, Low).</t>
  </si>
  <si>
    <t>Review audit report for explicit SLA/timeline table mapped to severity levels.</t>
  </si>
  <si>
    <t>CISO / Dev Team</t>
  </si>
  <si>
    <t>Remediation timeline matrix in audit report</t>
  </si>
  <si>
    <t>Manual review and sign-off by CISO / Dev Team, in line with the defined periodicity (Per Audit); exceptions/deviations escalated for corrective action.</t>
  </si>
  <si>
    <t>ISM-013</t>
  </si>
  <si>
    <t>Network Security</t>
  </si>
  <si>
    <t>Sec 6.v</t>
  </si>
  <si>
    <t>Network vulnerabilities undetected in hardware/software components</t>
  </si>
  <si>
    <t>Comprehensive assessment of network security posture</t>
  </si>
  <si>
    <t>Network infrastructure audit covers hardware (firewalls, IDS/IPS, routers, switches, endpoints), software, configurations, access controls, and security measures.</t>
  </si>
  <si>
    <t>This checkpoint tests whether the organisation has addressed the risk of network vulnerabilities undetected in hardware/software components, as required under CERT-In Audit Policy Guidelines / Clause Sec 6.v. It is a manual detective control; the auditor's objective is to independently verify that the stated control has been designed and implemented as described, and is operating effectively to bring the high inherent risk down to an acceptable residual level.</t>
  </si>
  <si>
    <t>Confirm that network infrastructure audit covers hardware (firewalls, IDS/IPS, routers, switches, endpoints), software, configurations, access controls, and security measures.</t>
  </si>
  <si>
    <t>Verify audit report covers all in-scope network devices; confirm configuration review against security baselines.</t>
  </si>
  <si>
    <t>Network Security Manager</t>
  </si>
  <si>
    <t>Network audit report; device configuration baselines</t>
  </si>
  <si>
    <t>Manual review and sign-off by Network Security Manager, in line with the defined periodicity (Annual); exceptions/deviations escalated for corrective action.</t>
  </si>
  <si>
    <t>CERT-In Audit Policy Guidelines / RBI IT Governance</t>
  </si>
  <si>
    <t>Sec 9.6.iii</t>
  </si>
  <si>
    <t>Default credentials and open ports on network devices</t>
  </si>
  <si>
    <t>Eliminate default credential and unnecessary exposure risks</t>
  </si>
  <si>
    <t>Unused ports blocked; default credentials changed on all network devices and applications at deployment.</t>
  </si>
  <si>
    <t>This checkpoint tests whether the organisation has addressed the risk of default credentials and open ports on network devices, as required under CERT-In Audit Policy Guidelines / RBI IT Governance / Clause Sec 9.6.iii. It is a semi-auto preventive control; the auditor's objective is to independently verify that the stated control has been designed and implemented as described, and is operating effectively to bring the critical inherent risk down to an acceptable residual level.</t>
  </si>
  <si>
    <t>Confirm that unused ports blocked.</t>
  </si>
  <si>
    <t>Run automated port scan and credential audit tools; verify no devices with default passwords accessible.</t>
  </si>
  <si>
    <t>Network Admin</t>
  </si>
  <si>
    <t>Quarterly</t>
  </si>
  <si>
    <t>Configuration scan reports; default credential change records</t>
  </si>
  <si>
    <t>System-generated reports reviewed periodically alongside manual verification by Network Admin, in line with the defined periodicity (Quarterly); deviations reported for corrective action.</t>
  </si>
  <si>
    <t>Sec 9.6.v</t>
  </si>
  <si>
    <t>Unencrypted or unmonitored remote access</t>
  </si>
  <si>
    <t>Secure and audit all remote access channels</t>
  </si>
  <si>
    <t>Remote access traffic tunneled, encrypted, and logged; MFA mandatory for all remote access to cyber infrastructure.</t>
  </si>
  <si>
    <t>This checkpoint tests whether the organisation has addressed the risk of unencrypted or unmonitored remote access, as required under CERT-In Audit Policy Guidelines / Clause Sec 9.6.v. It is a semi-auto preventive control; the auditor's objective is to independently verify that the stated control has been designed and implemented as described, and is operating effectively to bring the critical inherent risk down to an acceptable residual level.</t>
  </si>
  <si>
    <t>Confirm that remote access traffic tunneled, encrypted, and logged.</t>
  </si>
  <si>
    <t>Verify MFA is enforced for all remote access paths (VPN, RDP, SSH); confirm traffic encryption and logging are active.</t>
  </si>
  <si>
    <t>Network Admin / IAM</t>
  </si>
  <si>
    <t>VPN/remote access logs; MFA enrollment records</t>
  </si>
  <si>
    <t>System-generated reports reviewed periodically alongside manual verification by Network Admin / IAM, in line with the defined periodicity (Continuous); deviations reported for corrective action.</t>
  </si>
  <si>
    <t>Sec 9.6.ii</t>
  </si>
  <si>
    <t>Unpatched network devices creating exploitable vulnerabilities</t>
  </si>
  <si>
    <t>Maintain current, patched network asset inventory</t>
  </si>
  <si>
    <t>Asset inventory maintained for all authorized hardware/software; patch management mechanism in place to address vulnerable firmware, software, and applications.</t>
  </si>
  <si>
    <t>This checkpoint tests whether the organisation has addressed the risk of unpatched network devices creating exploitable vulnerabilities, as required under CERT-In Audit Policy Guidelines / Clause Sec 9.6.ii. It is a semi-auto preventive control; the auditor's objective is to independently verify that the stated control has been designed and implemented as described, and is operating effectively to bring the high inherent risk down to an acceptable residual level.</t>
  </si>
  <si>
    <t>Confirm that asset inventory maintained for all authorized hardware/software.</t>
  </si>
  <si>
    <t>Review asset inventory completeness; sample 5 devices for patch compliance against vendor security bulletins.</t>
  </si>
  <si>
    <t>IT Asset Manager</t>
  </si>
  <si>
    <t>Monthly</t>
  </si>
  <si>
    <t>Asset inventory; patch management dashboard; patching records</t>
  </si>
  <si>
    <t>System-generated reports reviewed periodically alongside manual verification by IT Asset Manager, in line with the defined periodicity (Monthly); deviations reported for corrective action.</t>
  </si>
  <si>
    <t>Sec 9.6.iv</t>
  </si>
  <si>
    <t>Excessive user/system privileges on network assets</t>
  </si>
  <si>
    <t>Minimize attack surface through least privilege implementation</t>
  </si>
  <si>
    <t>Principle of least privilege implemented across all assets; users, systems, applications granted minimum access necessary for their role.</t>
  </si>
  <si>
    <t>This checkpoint tests whether the organisation has addressed the risk of excessive user/system privileges on network assets, as required under CERT-In Audit Policy Guidelines / Clause Sec 9.6.iv. It is a semi-auto preventive control; the auditor's objective is to independently verify that the stated control has been designed and implemented as described, and is operating effectively to bring the high inherent risk down to an acceptable residual level.</t>
  </si>
  <si>
    <t>Confirm that principle of least privilege implemented across all assets.</t>
  </si>
  <si>
    <t>Review user access rights on network devices; verify no unnecessary privileged accounts; check role-based access controls.</t>
  </si>
  <si>
    <t>IAM / Network Admin</t>
  </si>
  <si>
    <t>Access rights reviews; privilege escalation reports</t>
  </si>
  <si>
    <t>System-generated reports reviewed periodically alongside manual verification by IAM / Network Admin, in line with the defined periodicity (Quarterly); deviations reported for corrective action.</t>
  </si>
  <si>
    <t>Sec 9.6.vi</t>
  </si>
  <si>
    <t>Weak or deprecated security protocols in use</t>
  </si>
  <si>
    <t>Eliminate protocol-level vulnerabilities</t>
  </si>
  <si>
    <t>Genuine, updated software used throughout infrastructure; secure protocols preferred over weak/vulnerable ones (e.g., TLS 1.2+, SSHv2, no Telnet/FTP).</t>
  </si>
  <si>
    <t>This checkpoint tests whether the organisation has addressed the risk of weak or deprecated security protocols in use, as required under CERT-In Audit Policy Guidelines / Clause Sec 9.6.vi. It is a auto preventive control; the auditor's objective is to independently verify that the stated control has been designed and implemented as described, and is operating effectively to bring the high inherent risk down to an acceptable residual level.</t>
  </si>
  <si>
    <t>Confirm that genuine, updated software used throughout infrastructure.</t>
  </si>
  <si>
    <t>Run protocol scanning tool to identify deprecated protocols (SSLv3, TLS 1.0/1.1, Telnet); verify secure protocol enforced.</t>
  </si>
  <si>
    <t>Protocol scan results; software update records</t>
  </si>
  <si>
    <t>System-generated alerts and reports are monitored by Network Admin, in line with the defined periodicity (Quarterly); exceptions are escalated for corrective action.</t>
  </si>
  <si>
    <t>AST-004</t>
  </si>
  <si>
    <t>Source Code Review</t>
  </si>
  <si>
    <t>Sec 6.ix</t>
  </si>
  <si>
    <t>Security vulnerabilities introduced in application code</t>
  </si>
  <si>
    <t>Identify and remediate security flaws at the code level</t>
  </si>
  <si>
    <t>Source code review examines application code to identify security vulnerabilities, coding errors, and deviations from coding standards and secure development practices.</t>
  </si>
  <si>
    <t>This checkpoint tests whether the organisation has addressed the risk of security vulnerabilities introduced in application code, as required under CERT-In Audit Policy Guidelines / Clause Sec 6.ix. It is a semi-auto detective control; the auditor's objective is to independently verify that the stated control has been designed and implemented as described, and is operating effectively to bring the high inherent risk down to an acceptable residual level.</t>
  </si>
  <si>
    <t>Confirm that source code review examines application code to identify security vulnerabilities, coding errors, and deviations from coding standards and secure development practices.</t>
  </si>
  <si>
    <t>Review SAST report for completeness; confirm manual code review covers authentication, input validation, cryptography, and error handling modules.</t>
  </si>
  <si>
    <t>Dev Lead / Auditing Org</t>
  </si>
  <si>
    <t>Per Release / Annual</t>
  </si>
  <si>
    <t>SAST tool report; manual code review findings</t>
  </si>
  <si>
    <t>System-generated reports reviewed periodically alongside manual verification by Dev Lead / Auditing Org, in line with the defined periodicity (Per Release / Annual); deviations reported for corrective action.</t>
  </si>
  <si>
    <t>Sec 8.vii</t>
  </si>
  <si>
    <t>Applications developed without secure coding practices audited</t>
  </si>
  <si>
    <t>Prevent audit of insecurely developed applications</t>
  </si>
  <si>
    <t>Auditee confirms applications designed and developed using secure practices (per CERT-In Application Security Guidelines) before commencing audit.</t>
  </si>
  <si>
    <t>This checkpoint tests whether the organisation has addressed the risk of applications developed without secure coding practices audited, as required under CERT-In Audit Policy Guidelines / Clause Sec 8.vii. It is a manual preventive control; the auditor's objective is to independently verify that the stated control has been designed and implemented as described, and is operating effectively to bring the high inherent risk down to an acceptable residual level.</t>
  </si>
  <si>
    <t>Confirm that auditee confirms applications designed and developed using secure practices (per CERT-In Application Security Guidelines) before commencing audit.</t>
  </si>
  <si>
    <t>Review secure SDLC policy; verify SAST was run during development phase; check developer security training completion.</t>
  </si>
  <si>
    <t>Dev Lead / CISO</t>
  </si>
  <si>
    <t>Pre-Audit</t>
  </si>
  <si>
    <t>Secure SDLC policy; SAST execution during development; developer training records</t>
  </si>
  <si>
    <t>Manual review and sign-off by Dev Lead / CISO, in line with the defined periodicity (Pre-Audit); exceptions/deviations escalated for corrective action.</t>
  </si>
  <si>
    <t>Sec 13.1.3.iii</t>
  </si>
  <si>
    <t>Static analysis not mandated in procurement RFPs</t>
  </si>
  <si>
    <t>Embed security testing requirements in procurement lifecycle</t>
  </si>
  <si>
    <t>RFPs and tenders for application/software procurement explicitly require vendors to perform SAST before delivery.</t>
  </si>
  <si>
    <t>This checkpoint tests whether the organisation has addressed the risk of static analysis not mandated in procurement RFPs, as required under CERT-In Audit Policy Guidelines / Clause Sec 13.1.3.iii. It is a manual preventive control; the auditor's objective is to independently verify that the stated control has been designed and implemented as described, and is operating effectively to bring the medium inherent risk down to an acceptable residual level.</t>
  </si>
  <si>
    <t>Confirm that rFPs and tenders for application/software procurement explicitly require vendors to perform SAST before delivery.</t>
  </si>
  <si>
    <t>Review RFP templates for SAST clause; verify vendor compliance submissions include SAST reports.</t>
  </si>
  <si>
    <t>Procurement / CISO</t>
  </si>
  <si>
    <t>Per Procurement</t>
  </si>
  <si>
    <t>RFP documents with SAST requirement clause</t>
  </si>
  <si>
    <t>Manual review and sign-off by Procurement / CISO, in line with the defined periodicity (Per Procurement); exceptions/deviations escalated for corrective action.</t>
  </si>
  <si>
    <t>SBOM/AIBOM not reviewed for supply chain risks</t>
  </si>
  <si>
    <t>Identify supply chain and open-source component risks</t>
  </si>
  <si>
    <t>Software Bill of Materials (SBOM) and AI Bill of Materials (AIBOM) audited to ensure transparency, traceability, and integrity; known vulnerabilities, licensing issues, and supply chain risks identified.</t>
  </si>
  <si>
    <t>This checkpoint tests whether the organisation has addressed the risk of sBOM/AIBOM not reviewed for supply chain risks, as required under CERT-In Audit Policy Guidelines / Clause Sec 6.ix. It is a semi-auto detective control; the auditor's objective is to independently verify that the stated control has been designed and implemented as described, and is operating effectively to bring the high inherent risk down to an acceptable residual level.</t>
  </si>
  <si>
    <t>Confirm that software Bill of Materials (SBOM) and AI Bill of Materials (AIBOM) audited to ensure transparency, traceability, and integrity.</t>
  </si>
  <si>
    <t>Verify SBOM/AIBOM exists for in-scope systems; run dependency scan against vulnerability databases (NVD, OSS Index).</t>
  </si>
  <si>
    <t>Dev Lead / Supply Chain</t>
  </si>
  <si>
    <t>SBOM/AIBOM document; dependency vulnerability scan; license compliance report</t>
  </si>
  <si>
    <t>System-generated reports reviewed periodically alongside manual verification by Dev Lead / Supply Chain, in line with the defined periodicity (Annual); deviations reported for corrective action.</t>
  </si>
  <si>
    <t>AST-005</t>
  </si>
  <si>
    <t>Mobile App Security</t>
  </si>
  <si>
    <t>CERT-In Audit Policy Guidelines / OWASP MSTG</t>
  </si>
  <si>
    <t>Sec 6.xiii; 8.ii</t>
  </si>
  <si>
    <t>Mobile app vulnerabilities exposing user data or device</t>
  </si>
  <si>
    <t>Identify and remediate mobile application security vulnerabilities</t>
  </si>
  <si>
    <t>Mobile application security audit per OWASP Mobile Security Testing Guide (MSTG) evaluates vulnerabilities, data protection controls, authentication mechanisms, and secure development compliance.</t>
  </si>
  <si>
    <t>This checkpoint tests whether the organisation has addressed the risk of mobile app vulnerabilities exposing user data or device, as required under CERT-In Audit Policy Guidelines / OWASP MSTG / Clause Sec 6.xiii; 8.ii. It is a manual detective control; the auditor's objective is to independently verify that the stated control has been designed and implemented as described, and is operating effectively to bring the high inherent risk down to an acceptable residual level.</t>
  </si>
  <si>
    <t>Confirm that mobile application security audit per OWASP Mobile Security Testing Guide (MSTG) evaluates vulnerabilities, data protection controls, authentication mechanisms, and secure development compliance.</t>
  </si>
  <si>
    <t>Review mobile audit report for MSTG framework coverage; verify static (APK/IPA analysis) and dynamic (runtime) testing performed.</t>
  </si>
  <si>
    <t>Mobile Dev Lead / CISO</t>
  </si>
  <si>
    <t>Annual / Per Release</t>
  </si>
  <si>
    <t>Mobile VAPT report; MSTG checklist completion</t>
  </si>
  <si>
    <t>Manual review and sign-off by Mobile Dev Lead / CISO, in line with the defined periodicity (Annual / Per Release); exceptions/deviations escalated for corrective action.</t>
  </si>
  <si>
    <t>Sec 6.xiii</t>
  </si>
  <si>
    <t>Sensitive data stored insecurely on device</t>
  </si>
  <si>
    <t>Protect sensitive data stored on mobile devices</t>
  </si>
  <si>
    <t>Mobile apps store sensitive data (credentials, tokens, PII) only with appropriate encryption; no sensitive data in plaintext in local storage, logs, or backups.</t>
  </si>
  <si>
    <t>This checkpoint tests whether the organisation has addressed the risk of sensitive data stored insecurely on device, as required under CERT-In Audit Policy Guidelines / Clause Sec 6.xiii. It is a semi-auto preventive control; the auditor's objective is to independently verify that the stated control has been designed and implemented as described, and is operating effectively to bring the critical inherent risk down to an acceptable residual level.</t>
  </si>
  <si>
    <t>Confirm that mobile apps store sensitive data (credentials, tokens, PII) only with appropriate encryption.</t>
  </si>
  <si>
    <t>Use MobSF or equivalent to scan APK/IPA; manually test local storage, SharedPreferences, NSUserDefaults for plaintext sensitive data.</t>
  </si>
  <si>
    <t>Mobile Dev Lead</t>
  </si>
  <si>
    <t>Static analysis report showing storage findings; manual test evidence</t>
  </si>
  <si>
    <t>System-generated reports reviewed periodically alongside manual verification by Mobile Dev Lead, in line with the defined periodicity (Annual); deviations reported for corrective action.</t>
  </si>
  <si>
    <t>Insecure API communications from mobile app</t>
  </si>
  <si>
    <t>Secure mobile app network communications</t>
  </si>
  <si>
    <t>All mobile app communications with backend APIs use TLS 1.2+; certificate pinning implemented where applicable; no sensitive data in URLs.</t>
  </si>
  <si>
    <t>This checkpoint tests whether the organisation has addressed the risk of insecure API communications from mobile app, as required under CERT-In Audit Policy Guidelines / Clause Sec 6.xiii. It is a semi-auto preventive control; the auditor's objective is to independently verify that the stated control has been designed and implemented as described, and is operating effectively to bring the high inherent risk down to an acceptable residual level.</t>
  </si>
  <si>
    <t>Confirm that all mobile app communications with backend APIs use TLS 1.2+.</t>
  </si>
  <si>
    <t>Use proxy tool (Burp, OWASP ZAP) to intercept mobile app traffic; verify TLS version and certificate validation; check for certificate pinning.</t>
  </si>
  <si>
    <t>Network traffic analysis; TLS certificate inspection</t>
  </si>
  <si>
    <t>Sec 16.1.iv</t>
  </si>
  <si>
    <t>Mobile app version not captured in audit report</t>
  </si>
  <si>
    <t>Ensure traceability of audited application versions</t>
  </si>
  <si>
    <t>Version-specific details of mobile applications explicitly mentioned in audit scope and final report.</t>
  </si>
  <si>
    <t>This checkpoint tests whether the organisation has addressed the risk of mobile app version not captured in audit report, as required under CERT-In Audit Policy Guidelines / Clause Sec 16.1.iv. It is a manual preventive control; the auditor's objective is to independently verify that the stated control has been designed and implemented as described, and is operating effectively to bring the medium inherent risk down to an acceptable residual level.</t>
  </si>
  <si>
    <t>Confirm that version-specific details of mobile applications explicitly mentioned in audit scope and final report.</t>
  </si>
  <si>
    <t>Check audit report for version number, hash value, and timestamp of each audited mobile application.</t>
  </si>
  <si>
    <t>Audit report with app version, hash values, and timestamps</t>
  </si>
  <si>
    <t>AST-006</t>
  </si>
  <si>
    <t>Red Team</t>
  </si>
  <si>
    <t>Sec 6.xvi; Def.xxiii</t>
  </si>
  <si>
    <t>Unknown attack paths exploitable by real adversaries</t>
  </si>
  <si>
    <t>Identify realistic adversarial attack paths not caught by standard testing</t>
  </si>
  <si>
    <t>Red team assessment reflects real-world attack conditions; simulated adversary attempts to attack or exploit vulnerabilities in enterprise information systems.</t>
  </si>
  <si>
    <t>This checkpoint tests whether the organisation has addressed the risk of unknown attack paths exploitable by real adversaries, as required under CERT-In Audit Policy Guidelines / Clause Sec 6.xvi; Def.xxiii. It is a manual detective control; the auditor's objective is to independently verify that the stated control has been designed and implemented as described, and is operating effectively to bring the critical inherent risk down to an acceptable residual level.</t>
  </si>
  <si>
    <t>Confirm that red team assessment reflects real-world attack conditions.</t>
  </si>
  <si>
    <t>Review red team report for scenario realism; verify objectives included lateral movement, privilege escalation, and data exfiltration attempts.</t>
  </si>
  <si>
    <t>Annual / As required</t>
  </si>
  <si>
    <t>Red team engagement report; attack narrative; identified kill chains</t>
  </si>
  <si>
    <t>Manual review and sign-off by CISO / Auditing Org, in line with the defined periodicity (Annual / As required); exceptions/deviations escalated for corrective action.</t>
  </si>
  <si>
    <t>Sec 13.2.7.ii; 15.2.2.ii</t>
  </si>
  <si>
    <t>DoS/DDoS tests disrupting live services without authorization</t>
  </si>
  <si>
    <t>Authorized, controlled resilience testing</t>
  </si>
  <si>
    <t>Explicit written permission obtained from auditee before DoS/DDoS/flood testing; tests conducted during maintenance windows to minimize production impact.</t>
  </si>
  <si>
    <t>This checkpoint tests whether the organisation has addressed the risk of doS/DDoS tests disrupting live services without authorization, as required under CERT-In Audit Policy Guidelines / Clause Sec 13.2.7.ii; 15.2.2.ii. It is a manual preventive control; the auditor's objective is to independently verify that the stated control has been designed and implemented as described, and is operating effectively to bring the high inherent risk down to an acceptable residual level.</t>
  </si>
  <si>
    <t>Confirm that explicit written permission obtained from auditee before DoS/DDoS/flood testing.</t>
  </si>
  <si>
    <t>Verify DoS/DDoS authorization letter predates testing; confirm test was scheduled during approved maintenance window.</t>
  </si>
  <si>
    <t>CISO / Ops</t>
  </si>
  <si>
    <t>Signed DoS/DDoS test authorization; test window schedule</t>
  </si>
  <si>
    <t>Manual review and sign-off by CISO / Ops, in line with the defined periodicity (Per Engagement); exceptions/deviations escalated for corrective action.</t>
  </si>
  <si>
    <t>Sec 15.2.2.iii</t>
  </si>
  <si>
    <t>Social engineering targets unauthorized personnel or third parties</t>
  </si>
  <si>
    <t>Ethical and compliant social engineering testing</t>
  </si>
  <si>
    <t>Social engineering tests target only employees within agreed audit scope using anonymized/statistical techniques; no external entities (customers, vendors, partners) targeted without specific written consent.</t>
  </si>
  <si>
    <t>This checkpoint tests whether the organisation has addressed the risk of social engineering targets unauthorized personnel or third parties, as required under CERT-In Audit Policy Guidelines / Clause Sec 15.2.2.iii. It is a manual preventive control; the auditor's objective is to independently verify that the stated control has been designed and implemented as described, and is operating effectively to bring the high inherent risk down to an acceptable residual level.</t>
  </si>
  <si>
    <t>Confirm that social engineering tests target only employees within agreed audit scope using anonymized/statistical techniques.</t>
  </si>
  <si>
    <t>Review social engineering test parameters; verify scope limited to internal employees; check no customer/partner data or contact used.</t>
  </si>
  <si>
    <t>CISO / HR / Legal</t>
  </si>
  <si>
    <t>Social engineering authorization; test parameters; debrief report</t>
  </si>
  <si>
    <t>Manual review and sign-off by CISO / HR / Legal, in line with the defined periodicity (Per Engagement); exceptions/deviations escalated for corrective action.</t>
  </si>
  <si>
    <t>EMT-001</t>
  </si>
  <si>
    <t>Emerging Technology</t>
  </si>
  <si>
    <t>Cloud Security</t>
  </si>
  <si>
    <t>CERT-In Audit Policy Guidelines / CSA CCM</t>
  </si>
  <si>
    <t>Sec 6.xviii; 8.ii</t>
  </si>
  <si>
    <t>Misconfigured cloud environments exposing data and services</t>
  </si>
  <si>
    <t>Assess and harden cloud infrastructure security posture</t>
  </si>
  <si>
    <t>Cloud security testing evaluates security measures, configurations, and vulnerabilities of cloud-based systems per CSA Cloud Controls Matrix (CCM); covers IaaS/PaaS/SaaS layers.</t>
  </si>
  <si>
    <t>This checkpoint tests whether the organisation has addressed the risk of misconfigured cloud environments exposing data and services, as required under CERT-In Audit Policy Guidelines / CSA CCM / Clause Sec 6.xviii; 8.ii. It is a semi-auto detective control; the auditor's objective is to independently verify that the stated control has been designed and implemented as described, and is operating effectively to bring the critical inherent risk down to an acceptable residual level.</t>
  </si>
  <si>
    <t>Confirm that cloud security testing evaluates security measures, configurations, and vulnerabilities of cloud-based systems per CSA Cloud Controls Matrix (CCM).</t>
  </si>
  <si>
    <t>Review CSA CCM compliance matrix; run cloud configuration benchmark tool (CIS Benchmarks for AWS/Azure/GCP); verify identity, data, and network controls.</t>
  </si>
  <si>
    <t>Cloud Security Manager</t>
  </si>
  <si>
    <t>Cloud security audit report; CSA CCM compliance matrix; configuration scan results</t>
  </si>
  <si>
    <t>System-generated reports reviewed periodically alongside manual verification by Cloud Security Manager, in line with the defined periodicity (Annual); deviations reported for corrective action.</t>
  </si>
  <si>
    <t>Sec 6.xviii</t>
  </si>
  <si>
    <t>Identity and access management weaknesses in cloud</t>
  </si>
  <si>
    <t>Secure cloud identity and access management</t>
  </si>
  <si>
    <t>Cloud IAM controls verified: MFA enforcement, privileged access management, role-based access controls, no overprivileged service accounts.</t>
  </si>
  <si>
    <t>This checkpoint tests whether the organisation has addressed the risk of identity and access management weaknesses in cloud, as required under CERT-In Audit Policy Guidelines / Clause Sec 6.xviii. It is a semi-auto preventive control; the auditor's objective is to independently verify that the stated control has been designed and implemented as described, and is operating effectively to bring the critical inherent risk down to an acceptable residual level.</t>
  </si>
  <si>
    <t>Confirm that cloud IAM controls verified: MFA enforcement, privileged access management, role-based access controls, no overprivileged service accounts.</t>
  </si>
  <si>
    <t>Review cloud IAM configuration; check for root account MFA, no long-term access keys, least-privilege roles; verify no wildcard permissions.</t>
  </si>
  <si>
    <t>Cloud Admin / IAM</t>
  </si>
  <si>
    <t>Cloud IAM audit report; MFA enrollment; privilege access review</t>
  </si>
  <si>
    <t>System-generated reports reviewed periodically alongside manual verification by Cloud Admin / IAM, in line with the defined periodicity (Quarterly); deviations reported for corrective action.</t>
  </si>
  <si>
    <t>Unencrypted data at rest and in transit in cloud</t>
  </si>
  <si>
    <t>Protect cloud-resident data through encryption</t>
  </si>
  <si>
    <t>All cloud data at rest encrypted with organization-managed or provider-managed keys; all data in transit uses TLS 1.2+; encryption key rotation documented.</t>
  </si>
  <si>
    <t>This checkpoint tests whether the organisation has addressed the risk of unencrypted data at rest and in transit in cloud, as required under CERT-In Audit Policy Guidelines / Clause Sec 6.xviii. It is a semi-auto preventive control; the auditor's objective is to independently verify that the stated control has been designed and implemented as described, and is operating effectively to bring the high inherent risk down to an acceptable residual level.</t>
  </si>
  <si>
    <t>Confirm that all cloud data at rest encrypted with organization-managed or provider-managed keys.</t>
  </si>
  <si>
    <t>Verify storage encryption settings for all cloud buckets/disks; check KMS key rotation policies; confirm TLS enforced on all cloud endpoints.</t>
  </si>
  <si>
    <t>Encryption configuration reports; key management policy; TLS inspection</t>
  </si>
  <si>
    <t>Publicly exposed cloud storage or services</t>
  </si>
  <si>
    <t>Eliminate unintended public cloud exposure</t>
  </si>
  <si>
    <t>Cloud storage buckets and services audited for public access settings; no inadvertent public exposure of sensitive data; cloud security posture management (CSPM) controls in place.</t>
  </si>
  <si>
    <t>This checkpoint tests whether the organisation has addressed the risk of publicly exposed cloud storage or services, as required under CERT-In Audit Policy Guidelines / Clause Sec 6.xviii. It is a auto preventive control; the auditor's objective is to independently verify that the stated control has been designed and implemented as described, and is operating effectively to bring the critical inherent risk down to an acceptable residual level.</t>
  </si>
  <si>
    <t>Confirm that cloud storage buckets and services audited for public access settings.</t>
  </si>
  <si>
    <t>Run CSPM tool scan; verify no public cloud storage contains sensitive data; review security group/NSG rules for unnecessary internet exposure.</t>
  </si>
  <si>
    <t>Cloud Admin</t>
  </si>
  <si>
    <t>CSPM scan results; bucket/blob public access audit; security group review</t>
  </si>
  <si>
    <t>System-generated alerts and reports are monitored by Cloud Admin, in line with the defined periodicity (Continuous); exceptions are escalated for corrective action.</t>
  </si>
  <si>
    <t>EMT-002</t>
  </si>
  <si>
    <t>AI System Audit</t>
  </si>
  <si>
    <t>Sec 6.xxiii</t>
  </si>
  <si>
    <t>AI systems manipulated through adversarial attacks</t>
  </si>
  <si>
    <t>Assess AI system resilience to adversarial attacks</t>
  </si>
  <si>
    <t>AI systems evaluated for resilience against adversarial manipulation (data poisoning, model inversion, adversarial examples, prompt injection for LLMs).</t>
  </si>
  <si>
    <t>This checkpoint tests whether the organisation has addressed the risk of aI systems manipulated through adversarial attacks, as required under CERT-In Audit Policy Guidelines / Clause Sec 6.xxiii. It is a manual detective control; the auditor's objective is to independently verify that the stated control has been designed and implemented as described, and is operating effectively to bring the high inherent risk down to an acceptable residual level.</t>
  </si>
  <si>
    <t>Confirm that aI systems evaluated for resilience against adversarial manipulation (data poisoning, model inversion, adversarial examples, prompt injection for LLMs).</t>
  </si>
  <si>
    <t>Review AI audit report for adversarial testing coverage; verify test scenarios include data poisoning, evasion, and inversion attacks.</t>
  </si>
  <si>
    <t>AI/ML Lead / CISO</t>
  </si>
  <si>
    <t>AI adversarial test results; red-team adversarial evaluation report</t>
  </si>
  <si>
    <t>Manual review and sign-off by AI/ML Lead / CISO, in line with the defined periodicity (Annual); exceptions/deviations escalated for corrective action.</t>
  </si>
  <si>
    <t>AI model lacking transparency and explainability controls</t>
  </si>
  <si>
    <t>Ensure AI ethical alignment and transparency</t>
  </si>
  <si>
    <t>AI systems assessed for ethical alignment, transparency, and explainability; model decisions auditable and explainable to relevant stakeholders.</t>
  </si>
  <si>
    <t>This checkpoint tests whether the organisation has addressed the risk of aI model lacking transparency and explainability controls, as required under CERT-In Audit Policy Guidelines / Clause Sec 6.xxiii. It is a manual detective control; the auditor's objective is to independently verify that the stated control has been designed and implemented as described, and is operating effectively to bring the medium inherent risk down to an acceptable residual level.</t>
  </si>
  <si>
    <t>Confirm that aI systems assessed for ethical alignment, transparency, and explainability.</t>
  </si>
  <si>
    <t>Review model documentation for explainability mechanisms; verify AI decision logs are maintained and accessible for audit.</t>
  </si>
  <si>
    <t>AI/ML Lead</t>
  </si>
  <si>
    <t>Explainability documentation; model cards; audit trail of AI decisions</t>
  </si>
  <si>
    <t>Manual review and sign-off by AI/ML Lead, in line with the defined periodicity (Annual); exceptions/deviations escalated for corrective action.</t>
  </si>
  <si>
    <t>Training data integrity not verified</t>
  </si>
  <si>
    <t>Protect AI system integrity through data security</t>
  </si>
  <si>
    <t>AI system data integrity assessed: training data provenance documented, data poisoning mitigations in place, data lineage tracked.</t>
  </si>
  <si>
    <t>This checkpoint tests whether the organisation has addressed the risk of training data integrity not verified, as required under CERT-In Audit Policy Guidelines / Clause Sec 6.xxiii. It is a manual detective control; the auditor's objective is to independently verify that the stated control has been designed and implemented as described, and is operating effectively to bring the high inherent risk down to an acceptable residual level.</t>
  </si>
  <si>
    <t>Confirm that aI system data integrity assessed: training data provenance documented, data poisoning mitigations in place, data lineage tracked.</t>
  </si>
  <si>
    <t>Review AIBOM and training data pipeline documentation; verify data validation and poisoning detection controls.</t>
  </si>
  <si>
    <t>AI/ML Lead / Data Governance</t>
  </si>
  <si>
    <t>Data provenance records; training data validation reports; AIBOM</t>
  </si>
  <si>
    <t>Manual review and sign-off by AI/ML Lead / Data Governance, in line with the defined periodicity (Annual); exceptions/deviations escalated for corrective action.</t>
  </si>
  <si>
    <t>Sec 6.xxvi</t>
  </si>
  <si>
    <t>AIBOM absent or incomplete</t>
  </si>
  <si>
    <t>Ensure AI supply chain transparency and traceability</t>
  </si>
  <si>
    <t>Artificial Intelligence Bill of Materials (AIBOM) maintained for all AI systems documenting components, frameworks, datasets, and third-party models; supply chain risks identified.</t>
  </si>
  <si>
    <t>This checkpoint tests whether the organisation has addressed the risk of aIBOM absent or incomplete, as required under CERT-In Audit Policy Guidelines / Clause Sec 6.xxvi. It is a manual preventive control; the auditor's objective is to independently verify that the stated control has been designed and implemented as described, and is operating effectively to bring the high inherent risk down to an acceptable residual level.</t>
  </si>
  <si>
    <t>Confirm that artificial Intelligence Bill of Materials (AIBOM) maintained for all AI systems documenting components, frameworks, datasets, and third-party models.</t>
  </si>
  <si>
    <t>Verify AIBOM exists and is current; check third-party model licenses and known vulnerabilities; review framework dependency security.</t>
  </si>
  <si>
    <t>AIBOM document; third-party model provenance records</t>
  </si>
  <si>
    <t>TPR-002</t>
  </si>
  <si>
    <t>Vendor Risk</t>
  </si>
  <si>
    <t>Sec 6.xxiv; 13.1.1.f</t>
  </si>
  <si>
    <t>Third-party suppliers introducing supply chain risk</t>
  </si>
  <si>
    <t>Identify and mitigate supply chain cybersecurity risks</t>
  </si>
  <si>
    <t>Vendor risk management audit assesses third-party cybersecurity practices; supply chain risk assessment included in audit scope.</t>
  </si>
  <si>
    <t>This checkpoint tests whether the organisation has addressed the risk of third-party suppliers introducing supply chain risk, as required under CERT-In Audit Policy Guidelines / Clause Sec 6.xxiv; 13.1.1.f. It is a manual detective control; the auditor's objective is to independently verify that the stated control has been designed and implemented as described, and is operating effectively to bring the high inherent risk down to an acceptable residual level.</t>
  </si>
  <si>
    <t>Confirm that vendor risk management audit assesses third-party cybersecurity practices.</t>
  </si>
  <si>
    <t>Review vendor risk register; verify annual security questionnaires or right-to-audit clauses exist for critical vendors.</t>
  </si>
  <si>
    <t>Vendor risk assessment questionnaires; third-party audit reports; SLA security clauses</t>
  </si>
  <si>
    <t>Manual review and sign-off by Procurement / CISO, in line with the defined periodicity (Annual); exceptions/deviations escalated for corrective action.</t>
  </si>
  <si>
    <t>Sec 6.xxiv</t>
  </si>
  <si>
    <t>Outsourced services lacking security oversight during audit</t>
  </si>
  <si>
    <t>Maintain security oversight of outsourced operations</t>
  </si>
  <si>
    <t>Where auditee activities are outsourced, relevant outsourced personnel available during audit; auditee retains full ownership and accountability.</t>
  </si>
  <si>
    <t>This checkpoint tests whether the organisation has addressed the risk of outsourced services lacking security oversight during audit, as required under CERT-In Audit Policy Guidelines / Clause Sec 6.xxiv. It is a manual preventive control; the auditor's objective is to independently verify that the stated control has been designed and implemented as described, and is operating effectively to bring the high inherent risk down to an acceptable residual level.</t>
  </si>
  <si>
    <t>Confirm that where auditee activities are outsourced, relevant outsourced personnel available during audit.</t>
  </si>
  <si>
    <t>Verify outsourcing contracts include security audit access rights; confirm outsourced vendor representative participated in audit scope review.</t>
  </si>
  <si>
    <t>Outsourcing contract with security clauses; vendor access records during audit</t>
  </si>
  <si>
    <t>Manual review and sign-off by Procurement / CISO, in line with the defined periodicity (Per Audit); exceptions/deviations escalated for corrective action.</t>
  </si>
  <si>
    <t>Sec 9.4.ii</t>
  </si>
  <si>
    <t>Secure-by-design principles absent from RFPs</t>
  </si>
  <si>
    <t>Embed security requirements into procurement specifications</t>
  </si>
  <si>
    <t>Auditee RFPs and tenders for application/software development include 'Secure by Design' principles and secure development practices as mandatory requirements.</t>
  </si>
  <si>
    <t>This checkpoint tests whether the organisation has addressed the risk of secure-by-design principles absent from RFPs, as required under CERT-In Audit Policy Guidelines / Clause Sec 9.4.ii. It is a manual preventive control; the auditor's objective is to independently verify that the stated control has been designed and implemented as described, and is operating effectively to bring the medium inherent risk down to an acceptable residual level.</t>
  </si>
  <si>
    <t>Confirm that auditee RFPs and tenders for application/software development include 'Secure by Design' principles and secure development practices as mandatory requirements.</t>
  </si>
  <si>
    <t>Review current RFP templates for mandatory security clauses; verify compliance checking process for vendor submissions.</t>
  </si>
  <si>
    <t>RFP templates with security requirements; vendor security compliance submissions</t>
  </si>
  <si>
    <t>EMT-003</t>
  </si>
  <si>
    <t>OT/ICS Security</t>
  </si>
  <si>
    <t>Sec 6.xix</t>
  </si>
  <si>
    <t>OT/ICS systems exposed to cyber threats disrupting operations</t>
  </si>
  <si>
    <t>Assess and secure operational technology infrastructure</t>
  </si>
  <si>
    <t>OT/ICS security testing evaluates cybersecurity posture of industrial control systems and OT networks; identifies vulnerabilities that could disrupt critical processes.</t>
  </si>
  <si>
    <t>This checkpoint tests whether the organisation has addressed the risk of oT/ICS systems exposed to cyber threats disrupting operations, as required under CERT-In Audit Policy Guidelines / Clause Sec 6.xix. It is a manual detective control; the auditor's objective is to independently verify that the stated control has been designed and implemented as described, and is operating effectively to bring the critical inherent risk down to an acceptable residual level.</t>
  </si>
  <si>
    <t>Confirm that oT/ICS security testing evaluates cybersecurity posture of industrial control systems and OT networks.</t>
  </si>
  <si>
    <t>Review OT audit report for ICS-specific vulnerability coverage; verify IT/OT network segmentation; check for internet-exposed ICS interfaces.</t>
  </si>
  <si>
    <t>OT Security Manager</t>
  </si>
  <si>
    <t>OT/ICS security audit report; network segmentation review; ICS vulnerability scan</t>
  </si>
  <si>
    <t>Manual review and sign-off by OT Security Manager, in line with the defined periodicity (Annual); exceptions/deviations escalated for corrective action.</t>
  </si>
  <si>
    <t>IT/OT network not properly segmented</t>
  </si>
  <si>
    <t>Prevent lateral movement from IT to OT environments</t>
  </si>
  <si>
    <t>OT/ICS networks segmented from corporate IT networks through firewalls, DMZ, and unidirectional security gateways; remote access to OT systems strictly controlled.</t>
  </si>
  <si>
    <t>This checkpoint tests whether the organisation has addressed the risk of iT/OT network not properly segmented, as required under CERT-In Audit Policy Guidelines / Clause Sec 6.xix. It is a semi-auto preventive control; the auditor's objective is to independently verify that the stated control has been designed and implemented as described, and is operating effectively to bring the critical inherent risk down to an acceptable residual level.</t>
  </si>
  <si>
    <t>Confirm that oT/ICS networks segmented from corporate IT networks through firewalls, DMZ, and unidirectional security gateways.</t>
  </si>
  <si>
    <t>Review IT/OT network architecture; test segmentation effectiveness; verify OT remote access requires MFA and logs all sessions.</t>
  </si>
  <si>
    <t>Network architecture diagrams; firewall rule review; OT remote access logs</t>
  </si>
  <si>
    <t>System-generated reports reviewed periodically alongside manual verification by OT Security Manager, in line with the defined periodicity (Annual); deviations reported for corrective action.</t>
  </si>
  <si>
    <t>EMT-004</t>
  </si>
  <si>
    <t>IoT Security</t>
  </si>
  <si>
    <t>Sec 6.xx</t>
  </si>
  <si>
    <t>IoT device vulnerabilities enabling network compromise</t>
  </si>
  <si>
    <t>Identify and remediate IoT security vulnerabilities</t>
  </si>
  <si>
    <t>IoT security testing evaluates connected devices for vulnerabilities, insecure default configurations, firmware weaknesses, and communication security.</t>
  </si>
  <si>
    <t>This checkpoint tests whether the organisation has addressed the risk of ioT device vulnerabilities enabling network compromise, as required under CERT-In Audit Policy Guidelines / Clause Sec 6.xx. It is a semi-auto detective control; the auditor's objective is to independently verify that the stated control has been designed and implemented as described, and is operating effectively to bring the high inherent risk down to an acceptable residual level.</t>
  </si>
  <si>
    <t>Confirm that ioT security testing evaluates connected devices for vulnerabilities, insecure default configurations, firmware weaknesses, and communication security.</t>
  </si>
  <si>
    <t>Enumerate IoT devices on network; run firmware analysis on critical devices; verify devices have no default credentials and use encrypted communications.</t>
  </si>
  <si>
    <t>IoT/Network Security</t>
  </si>
  <si>
    <t>IoT device inventory; firmware analysis report; IoT network traffic analysis</t>
  </si>
  <si>
    <t>System-generated reports reviewed periodically alongside manual verification by IoT/Network Security, in line with the defined periodicity (Annual); deviations reported for corrective action.</t>
  </si>
  <si>
    <t>Unpatched IoT/OT firmware with known vulnerabilities</t>
  </si>
  <si>
    <t>Maintain current firmware on IoT/OT devices</t>
  </si>
  <si>
    <t>IoT and OT device firmware maintained with security updates; vendor security advisories monitored; end-of-life devices tracked and replaced.</t>
  </si>
  <si>
    <t>This checkpoint tests whether the organisation has addressed the risk of unpatched IoT/OT firmware with known vulnerabilities, as required under CERT-In Audit Policy Guidelines / Clause Sec 6.xx. It is a semi-auto preventive control; the auditor's objective is to independently verify that the stated control has been designed and implemented as described, and is operating effectively to bring the high inherent risk down to an acceptable residual level.</t>
  </si>
  <si>
    <t>Confirm that ioT and OT device firmware maintained with security updates.</t>
  </si>
  <si>
    <t>Inventory all IoT/OT device firmware versions; cross-reference against NVD and vendor advisories; flag EoL devices without support.</t>
  </si>
  <si>
    <t>OT/IoT Manager</t>
  </si>
  <si>
    <t>Firmware version inventory; CVE scan against device firmware versions; EoL register</t>
  </si>
  <si>
    <t>System-generated reports reviewed periodically alongside manual verification by OT/IoT Manager, in line with the defined periodicity (Quarterly); deviations reported for corrective action.</t>
  </si>
  <si>
    <t>ITO-007</t>
  </si>
  <si>
    <t>Log Management</t>
  </si>
  <si>
    <t>CERT-In Audit Policy Guidelines / CERT-In Directions Apr 2022</t>
  </si>
  <si>
    <t>Sec 6.xxi</t>
  </si>
  <si>
    <t>Insufficient logging undermining incident detection</t>
  </si>
  <si>
    <t>Ensure comprehensive, compliant log management</t>
  </si>
  <si>
    <t>Log management audit assesses effectiveness of system/security log generation, retention, integrity, and monitoring; compliance with CERT-In Directions on log requirements.</t>
  </si>
  <si>
    <t>This checkpoint tests whether the organisation has addressed the risk of insufficient logging undermining incident detection, as required under CERT-In Audit Policy Guidelines / CERT-In Directions Apr 2022 / Clause Sec 6.xxi. It is a semi-auto detective control; the auditor's objective is to independently verify that the stated control has been designed and implemented as described, and is operating effectively to bring the high inherent risk down to an acceptable residual level.</t>
  </si>
  <si>
    <t>Confirm that log management audit assesses effectiveness of system/security log generation, retention, integrity, and monitoring.</t>
  </si>
  <si>
    <t>Review log sources against asset inventory; verify SIEM ingestion coverage; confirm retention meets CERT-In minimum requirements (180 days rolling, 1 year archive).</t>
  </si>
  <si>
    <t>SOC / CISO</t>
  </si>
  <si>
    <t>Log configuration review; SIEM log coverage matrix; retention policy</t>
  </si>
  <si>
    <t>System-generated reports reviewed periodically alongside manual verification by SOC / CISO, in line with the defined periodicity (Annual); deviations reported for corrective action.</t>
  </si>
  <si>
    <t>Log integrity not protected against tampering</t>
  </si>
  <si>
    <t>Protect log integrity for evidentiary purposes</t>
  </si>
  <si>
    <t>Log files protected against unauthorized modification; integrity monitoring or append-only log storage implemented; log access restricted.</t>
  </si>
  <si>
    <t>This checkpoint tests whether the organisation has addressed the risk of log integrity not protected against tampering, as required under CERT-In Audit Policy Guidelines / Clause Sec 6.xxi. It is a semi-auto preventive control; the auditor's objective is to independently verify that the stated control has been designed and implemented as described, and is operating effectively to bring the high inherent risk down to an acceptable residual level.</t>
  </si>
  <si>
    <t>Confirm that log files protected against unauthorized modification.</t>
  </si>
  <si>
    <t>Verify log storage uses immutable/write-once storage or integrity hashing; check access controls on log management systems.</t>
  </si>
  <si>
    <t>SOC / IT Admin</t>
  </si>
  <si>
    <t>Log integrity monitoring alerts; file integrity monitoring reports; access logs for log systems</t>
  </si>
  <si>
    <t>System-generated reports reviewed periodically alongside manual verification by SOC / IT Admin, in line with the defined periodicity (Continuous); deviations reported for corrective action.</t>
  </si>
  <si>
    <t>Security events not monitored in real-time</t>
  </si>
  <si>
    <t>Enable real-time detection of security incidents</t>
  </si>
  <si>
    <t>Real-time monitoring and alerting on critical security events: failed logins, privilege escalation, large data transfers, config changes on critical systems.</t>
  </si>
  <si>
    <t>This checkpoint tests whether the organisation has addressed the risk of security events not monitored in real-time, as required under CERT-In Audit Policy Guidelines / Clause Sec 6.xxi. It is a auto detective control; the auditor's objective is to independently verify that the stated control has been designed and implemented as described, and is operating effectively to bring the high inherent risk down to an acceptable residual level.</t>
  </si>
  <si>
    <t>Confirm that real-time monitoring and alerting on critical security events: failed logins, privilege escalation, large data transfers, config changes on critical systems.</t>
  </si>
  <si>
    <t>Review SIEM alerting rules for coverage of CERT-In required event categories; verify alerts generated and investigated within SLA.</t>
  </si>
  <si>
    <t>SOC</t>
  </si>
  <si>
    <t>SIEM alert rules; incident tickets triggered from log events; SOC response metrics</t>
  </si>
  <si>
    <t>System-generated alerts and reports are monitored by SOC, in line with the defined periodicity (Continuous); exceptions are escalated for corrective action.</t>
  </si>
  <si>
    <t>ISM-014</t>
  </si>
  <si>
    <t>Endpoint Security</t>
  </si>
  <si>
    <t>Sec 6.xxii</t>
  </si>
  <si>
    <t>Endpoints vulnerable due to misconfigurations or missing controls</t>
  </si>
  <si>
    <t>Comprehensive assessment of endpoint security posture</t>
  </si>
  <si>
    <t>Endpoint security assessment evaluates desktops, laptops, and mobile devices for configuration, patching, malware protection, encryption, access controls, and monitoring.</t>
  </si>
  <si>
    <t>This checkpoint tests whether the organisation has addressed the risk of endpoints vulnerable due to misconfigurations or missing controls, as required under CERT-In Audit Policy Guidelines / Clause Sec 6.xxii. It is a semi-auto detective control; the auditor's objective is to independently verify that the stated control has been designed and implemented as described, and is operating effectively to bring the high inherent risk down to an acceptable residual level.</t>
  </si>
  <si>
    <t>Confirm that endpoint security assessment evaluates desktops, laptops, and mobile devices for configuration, patching, malware protection, encryption, access controls, and monitoring.</t>
  </si>
  <si>
    <t>Run endpoint compliance scan tool; verify EDR/AV deployment across all endpoints; check patch compliance rates.</t>
  </si>
  <si>
    <t>Annual / Quarterly</t>
  </si>
  <si>
    <t>Endpoint compliance scan reports; EDR coverage dashboard; patch compliance metrics</t>
  </si>
  <si>
    <t>System-generated reports reviewed periodically alongside manual verification by Endpoint Security, in line with the defined periodicity (Annual / Quarterly); deviations reported for corrective action.</t>
  </si>
  <si>
    <t>CERT-In Audit Policy Guidelines / ISO 27001:2022</t>
  </si>
  <si>
    <t>Sec 9.6.ii; A.8.7</t>
  </si>
  <si>
    <t>Endpoints running outdated OS or unpatched applications</t>
  </si>
  <si>
    <t>Eliminate known vulnerabilities through timely patching</t>
  </si>
  <si>
    <t>Endpoints maintain current, supported OS versions; application and OS patches applied within defined SLAs based on severity (Critical: ≤7 days, High: ≤30 days).</t>
  </si>
  <si>
    <t>This checkpoint tests whether the organisation has addressed the risk of endpoints running outdated OS or unpatched applications, as required under CERT-In Audit Policy Guidelines / ISO 27001:2022 / Clause Sec 9.6.ii; A.8.7. It is a semi-auto preventive control; the auditor's objective is to independently verify that the stated control has been designed and implemented as described, and is operating effectively to bring the critical inherent risk down to an acceptable residual level.</t>
  </si>
  <si>
    <t>Confirm that endpoints maintain current, supported OS versions.</t>
  </si>
  <si>
    <t>Pull patch compliance report from endpoint management tool; verify critical patch SLA compliance; flag EoL OS instances.</t>
  </si>
  <si>
    <t>Patch Manager</t>
  </si>
  <si>
    <t>Patch compliance report; vulnerability scan showing OS/app versions; patching SLA metrics</t>
  </si>
  <si>
    <t>System-generated reports reviewed periodically alongside manual verification by Patch Manager, in line with the defined periodicity (Monthly); deviations reported for corrective action.</t>
  </si>
  <si>
    <t>Sensitive data unprotected on endpoints</t>
  </si>
  <si>
    <t>Protect sensitive data on endpoint devices</t>
  </si>
  <si>
    <t>Full-disk encryption enabled on all laptops and mobile devices; endpoint DLP policies prevent unauthorized data transfer (USB, email, cloud upload).</t>
  </si>
  <si>
    <t>This checkpoint tests whether the organisation has addressed the risk of sensitive data unprotected on endpoints, as required under CERT-In Audit Policy Guidelines / Clause Sec 6.xxii. It is a semi-auto preventive control; the auditor's objective is to independently verify that the stated control has been designed and implemented as described, and is operating effectively to bring the high inherent risk down to an acceptable residual level.</t>
  </si>
  <si>
    <t>Confirm that full-disk encryption enabled on all laptops and mobile devices.</t>
  </si>
  <si>
    <t>Verify BitLocker/FileVault/equivalent enabled on all laptops; check DLP policy coverage for sensitive data categories.</t>
  </si>
  <si>
    <t>Endpoint Security / DLP</t>
  </si>
  <si>
    <t>Encryption compliance report; DLP policy configuration review; USB control logs</t>
  </si>
  <si>
    <t>System-generated reports reviewed periodically alongside manual verification by Endpoint Security / DLP, in line with the defined periodicity (Continuous); deviations reported for corrective action.</t>
  </si>
  <si>
    <t>Endpoints lacking EDR/XDR coverage creating blind spots</t>
  </si>
  <si>
    <t>Detect and respond to endpoint-based threats</t>
  </si>
  <si>
    <t>EDR/XDR deployed on all in-scope endpoints; real-time threat detection, behavioral monitoring, and automated response capabilities enabled.</t>
  </si>
  <si>
    <t>This checkpoint tests whether the organisation has addressed the risk of endpoints lacking EDR/XDR coverage creating blind spots, as required under CERT-In Audit Policy Guidelines / Clause Sec 6.xxii. It is a auto detective control; the auditor's objective is to independently verify that the stated control has been designed and implemented as described, and is operating effectively to bring the high inherent risk down to an acceptable residual level.</t>
  </si>
  <si>
    <t>Confirm that eDR/XDR deployed on all in-scope endpoints.</t>
  </si>
  <si>
    <t>Review EDR deployment dashboard for coverage gaps; verify behavioral detection rules are current; check mean time to detect (MTTD) metrics.</t>
  </si>
  <si>
    <t>SOC / Endpoint Security</t>
  </si>
  <si>
    <t>EDR deployment coverage report; detection and response metrics</t>
  </si>
  <si>
    <t>System-generated alerts and reports are monitored by SOC / Endpoint Security, in line with the defined periodicity (Continuous); exceptions are escalated for corrective action.</t>
  </si>
  <si>
    <t>CFI-003</t>
  </si>
  <si>
    <t>CERT-In Advisory Compliance</t>
  </si>
  <si>
    <t>Sec 9.1.iv; 15.2.1.v</t>
  </si>
  <si>
    <t>CERT-In advisories not tracked or implemented</t>
  </si>
  <si>
    <t>Systematic implementation of CERT-In guidance</t>
  </si>
  <si>
    <t>CERT-In updates, advisories, and vulnerability notes incorporated into audit practices and security operations; advisory tracker maintained with implementation status.</t>
  </si>
  <si>
    <t>This checkpoint tests whether the organisation has addressed the risk of cERT-In advisories not tracked or implemented, as required under CERT-In Audit Policy Guidelines / Clause Sec 9.1.iv; 15.2.1.v. It is a manual preventive control; the auditor's objective is to independently verify that the stated control has been designed and implemented as described, and is operating effectively to bring the high inherent risk down to an acceptable residual level.</t>
  </si>
  <si>
    <t>Confirm that cERT-In updates, advisories, and vulnerability notes incorporated into audit practices and security operations.</t>
  </si>
  <si>
    <t>Review CERT-In advisory tracker; sample 5 recent advisories and verify implementation or documented risk acceptance.</t>
  </si>
  <si>
    <t>CERT-In advisory tracker with implementation dates and status; responsible owner per advisory</t>
  </si>
  <si>
    <t>Sec 15.2.1.iv</t>
  </si>
  <si>
    <t>CERT-In Directions verification absent from audit scope</t>
  </si>
  <si>
    <t>Mandatory CERT-In Directions compliance checking in all audits</t>
  </si>
  <si>
    <t>Auditing organization includes verification of CERT-In Directions compliance as standard scope in all audit engagements per Methods_of_Verification.pdf.</t>
  </si>
  <si>
    <t>This checkpoint tests whether the organisation has addressed the risk of cERT-In Directions verification absent from audit scope, as required under CERT-In Audit Policy Guidelines / Clause Sec 15.2.1.iv. It is a manual detective control; the auditor's objective is to independently verify that the stated control has been designed and implemented as described, and is operating effectively to bring the critical inherent risk down to an acceptable residual level.</t>
  </si>
  <si>
    <t>Confirm that auditing organization includes verification of CERT-In Directions compliance as standard scope in all audit engagements per Methods_of_Verification.pdf.</t>
  </si>
  <si>
    <t>Confirm audit report contains dedicated CERT-In Directions verification section; verify Methods_of_Verification.pdf methodology applied.</t>
  </si>
  <si>
    <t>CERT-In Directions verification section in audit report with mapped evidence</t>
  </si>
  <si>
    <t>Manual review and sign-off by Auditing Org / CISO, in line with the defined periodicity (Per Audit); exceptions/deviations escalated for corrective action.</t>
  </si>
  <si>
    <t>AUD-005</t>
  </si>
  <si>
    <t>Audit Reporting</t>
  </si>
  <si>
    <t>Sec 16.1; 10.3.viii</t>
  </si>
  <si>
    <t>Audit report missing mandatory elements</t>
  </si>
  <si>
    <t>Ensure completeness and quality of audit reporting</t>
  </si>
  <si>
    <t>Audit report is clear, precise, and comprehensive; includes scope, duration, methodologies, tools used, manual processes, findings with CVSS/EPSS/CWE/CVE, prioritization, sampling decisions, manpower, exemptions, and limitations.</t>
  </si>
  <si>
    <t>This checkpoint tests whether the organisation has addressed the risk of audit report missing mandatory elements, as required under CERT-In Audit Policy Guidelines / Clause Sec 16.1; 10.3.viii. It is a manual detective control; the auditor's objective is to independently verify that the stated control has been designed and implemented as described, and is operating effectively to bring the high inherent risk down to an acceptable residual level.</t>
  </si>
  <si>
    <t>Confirm that audit report is clear, precise, and comprehensive.</t>
  </si>
  <si>
    <t>Review audit report against mandatory element checklist; verify all sections present before accepting as final deliverable.</t>
  </si>
  <si>
    <t>Lead Auditor</t>
  </si>
  <si>
    <t>Final audit report checklist; QC review sign-off</t>
  </si>
  <si>
    <t>Manual review and sign-off by Lead Auditor, in line with the defined periodicity (Per Audit); exceptions/deviations escalated for corrective action.</t>
  </si>
  <si>
    <t>Sec 9.5.iii; 16.1.vi</t>
  </si>
  <si>
    <t>Audit reports signed by unauthorized personnel</t>
  </si>
  <si>
    <t>Ensure accountability and quality through three-tier sign-off</t>
  </si>
  <si>
    <t>Audit reports signed by: (1) Auditors who conducted the audit, (2) Mid-management Reviewer not on audit team, (3) Head of Auditing Organization. Audit certificate signed by Lead Auditor AND Head of Auditing Org.</t>
  </si>
  <si>
    <t>This checkpoint tests whether the organisation has addressed the risk of audit reports signed by unauthorized personnel, as required under CERT-In Audit Policy Guidelines / Clause Sec 9.5.iii; 16.1.vi. It is a manual preventive control; the auditor's objective is to independently verify that the stated control has been designed and implemented as described, and is operating effectively to bring the high inherent risk down to an acceptable residual level.</t>
  </si>
  <si>
    <t>Confirm that audit reports signed by: (1) Auditors who conducted the audit, (2) Mid-management Reviewer not on audit team, (3) Head of Auditing Organization. Audit certificate signed by Lead Auditor AND Head of Auditing Org.</t>
  </si>
  <si>
    <t>Verify signatory names against CERT-In snapshot information; confirm three-tier sign-off (Auditor, Reviewer, Head); check Lead Auditor and Head sign audit certificate.</t>
  </si>
  <si>
    <t>Auditing Org Management</t>
  </si>
  <si>
    <t>Signed audit report with all three authorized signatures verified against CERT-In snapshot</t>
  </si>
  <si>
    <t>Manual review and sign-off by Auditing Org Management, in line with the defined periodicity (Per Audit); exceptions/deviations escalated for corrective action.</t>
  </si>
  <si>
    <t>Sec 10.6</t>
  </si>
  <si>
    <t>Audit metadata not submitted to CERT-In within 5 days</t>
  </si>
  <si>
    <t>Mandatory CERT-In audit metadata reporting</t>
  </si>
  <si>
    <t>Auditing organization submits audit information to CERT-In within 5 days of audit completion in prescribed format.</t>
  </si>
  <si>
    <t>This checkpoint tests whether the organisation has addressed the risk of audit metadata not submitted to CERT-In within 5 days, as required under CERT-In Audit Policy Guidelines / Clause Sec 10.6. It is a manual preventive control; the auditor's objective is to independently verify that the stated control has been designed and implemented as described, and is operating effectively to bring the high inherent risk down to an acceptable residual level.</t>
  </si>
  <si>
    <t>Confirm that auditing organization submits audit information to CERT-In within 5 days of audit completion in prescribed format.</t>
  </si>
  <si>
    <t>Verify CERT-In submission record exists and is timestamped within 5 days of audit completion date.</t>
  </si>
  <si>
    <t>CERT-In submission acknowledgement; submission timestamp records</t>
  </si>
  <si>
    <t>AUD-006</t>
  </si>
  <si>
    <t>Audit Evidence</t>
  </si>
  <si>
    <t>Sec 18.i–iv</t>
  </si>
  <si>
    <t>Audit evidence not collected or stored securely</t>
  </si>
  <si>
    <t>Ensure completeness and security of audit evidence</t>
  </si>
  <si>
    <t>Working notes and all evidence collected during assessment submitted as appendix to final audit report; stored with encryption and access controls; accessible to authorized personnel only.</t>
  </si>
  <si>
    <t>This checkpoint tests whether the organisation has addressed the risk of audit evidence not collected or stored securely, as required under CERT-In Audit Policy Guidelines / Clause Sec 18.i–iv. It is a manual preventive control; the auditor's objective is to independently verify that the stated control has been designed and implemented as described, and is operating effectively to bring the high inherent risk down to an acceptable residual level.</t>
  </si>
  <si>
    <t>Confirm that working notes and all evidence collected during assessment submitted as appendix to final audit report.</t>
  </si>
  <si>
    <t>Verify evidence appendix exists in final report; check evidence storage encryption; review access controls on evidence repository.</t>
  </si>
  <si>
    <t>Evidence appendix in audit report; encrypted evidence storage; access log</t>
  </si>
  <si>
    <t>AUD-007</t>
  </si>
  <si>
    <t>Remediation</t>
  </si>
  <si>
    <t>Sec 9.3.iii</t>
  </si>
  <si>
    <t>Vulnerabilities not remediated promptly by owners</t>
  </si>
  <si>
    <t>Timely remediation of identified vulnerabilities</t>
  </si>
  <si>
    <t>Vulnerabilities highlighted in audit reports patched by application owners/developers at the earliest; patching responsibility rests with the auditee organization.</t>
  </si>
  <si>
    <t>This checkpoint tests whether the organisation has addressed the risk of vulnerabilities not remediated promptly by owners, as required under CERT-In Audit Policy Guidelines / Clause Sec 9.3.iii. It is a manual corrective control; the auditor's objective is to independently verify that the stated control has been designed and implemented as described, and is operating effectively to bring the critical inherent risk down to an acceptable residual level.</t>
  </si>
  <si>
    <t>Confirm that vulnerabilities highlighted in audit reports patched by application owners/developers at the earliest.</t>
  </si>
  <si>
    <t>Review remediation tracker; verify patching completed within severity-based SLA; confirm closure evidence per finding.</t>
  </si>
  <si>
    <t>Application Owner / Dev</t>
  </si>
  <si>
    <t>Remediation tracking log; patch confirmation reports; closure evidence</t>
  </si>
  <si>
    <t>Manual review and sign-off by Application Owner / Dev, in line with the defined periodicity (Per Finding); exceptions/deviations escalated for corrective action.</t>
  </si>
  <si>
    <t>Sec 9.3.iv; 16.3.iv</t>
  </si>
  <si>
    <t>Follow-up audit not conducted after remediation</t>
  </si>
  <si>
    <t>Verify effectiveness of remediation actions</t>
  </si>
  <si>
    <t>Follow-up audits included in original scope/RFP; conducted by auditing organization after vulnerability closure to verify effective remediation.</t>
  </si>
  <si>
    <t>This checkpoint tests whether the organisation has addressed the risk of follow-up audit not conducted after remediation, as required under CERT-In Audit Policy Guidelines / Clause Sec 9.3.iv; 16.3.iv. It is a manual corrective control; the auditor's objective is to independently verify that the stated control has been designed and implemented as described, and is operating effectively to bring the high inherent risk down to an acceptable residual level.</t>
  </si>
  <si>
    <t>Confirm that follow-up audits included in original scope/RFP.</t>
  </si>
  <si>
    <t>Confirm follow-up audit scheduled and conducted; review follow-up report for confirmation of closure for all previously identified issues.</t>
  </si>
  <si>
    <t>Post-remediation</t>
  </si>
  <si>
    <t>Follow-up audit report; closure certificates per vulnerability</t>
  </si>
  <si>
    <t>Manual review and sign-off by CISO / Auditing Org, in line with the defined periodicity (Post-remediation); exceptions/deviations escalated for corrective action.</t>
  </si>
  <si>
    <t>Sec 16.3.v</t>
  </si>
  <si>
    <t>Final report issued before production environment verified</t>
  </si>
  <si>
    <t>Ensure audit certification reflects production security state</t>
  </si>
  <si>
    <t>Final audit report issued only after vulnerability closure and follow-up audit completion of application in production environment; staging-only audits explicitly noted.</t>
  </si>
  <si>
    <t>This checkpoint tests whether the organisation has addressed the risk of final report issued before production environment verified, as required under CERT-In Audit Policy Guidelines / Clause Sec 16.3.v. It is a manual preventive control; the auditor's objective is to independently verify that the stated control has been designed and implemented as described, and is operating effectively to bring the high inherent risk down to an acceptable residual level.</t>
  </si>
  <si>
    <t>Confirm that final audit report issued only after vulnerability closure and follow-up audit completion of application in production environment.</t>
  </si>
  <si>
    <t>Verify final report explicitly states production environment was audited or clearly notes staging-only limitation.</t>
  </si>
  <si>
    <t>Lead Auditor / CISO</t>
  </si>
  <si>
    <t>Final report version with production environment confirmation; follow-up audit confirmation</t>
  </si>
  <si>
    <t>Manual review and sign-off by Lead Auditor / CISO, in line with the defined periodicity (Per Audit); exceptions/deviations escalated for corrective action.</t>
  </si>
  <si>
    <t>Sec 15.2.1.iii</t>
  </si>
  <si>
    <t>Repeat observations not tracked across audit cycles</t>
  </si>
  <si>
    <t>Track unresolved issues across audit cycles for accountability</t>
  </si>
  <si>
    <t>Auditing organization revalidates observations from previous audit cycle; unresolved issues recorded as repeat observations in current audit report.</t>
  </si>
  <si>
    <t>This checkpoint tests whether the organisation has addressed the risk of repeat observations not tracked across audit cycles, as required under CERT-In Audit Policy Guidelines / Clause Sec 15.2.1.iii. It is a manual detective control; the auditor's objective is to independently verify that the stated control has been designed and implemented as described, and is operating effectively to bring the medium inherent risk down to an acceptable residual level.</t>
  </si>
  <si>
    <t>Confirm that auditing organization revalidates observations from previous audit cycle.</t>
  </si>
  <si>
    <t>Review current audit report for repeat observation section; cross-reference with prior audit findings to confirm all unresolved items are flagged.</t>
  </si>
  <si>
    <t>Repeat observation tracking table in audit report; cross-reference with prior cycle</t>
  </si>
  <si>
    <t>Manual review and sign-off by CISO / Auditing Org, in line with the defined periodicity (Annual); exceptions/deviations escalated for corrective action.</t>
  </si>
  <si>
    <t>LEG-001</t>
  </si>
  <si>
    <t>Legal &amp; Regulatory Compliance</t>
  </si>
  <si>
    <t>IT Act 2000 – Chapter IX</t>
  </si>
  <si>
    <t>IT Act 2000 (as amended)</t>
  </si>
  <si>
    <t>Chapter IX</t>
  </si>
  <si>
    <t>Sec 43A</t>
  </si>
  <si>
    <t>Failure to implement reasonable security practices for sensitive personal data may result in compensation liability</t>
  </si>
  <si>
    <t>Ensure body corporate is not liable for wrongful loss/gain due to negligent data handling</t>
  </si>
  <si>
    <t>Implement and maintain reasonable security practices and procedures (e.g., ISO/IEC 27001) for all sensitive personal data/information stored, processed, or handled in computer resources</t>
  </si>
  <si>
    <t>This checkpoint tests whether the organisation has addressed the risk of failure to implement reasonable security practices for sensitive personal data may result in compensation liability, as required under IT Act 2000 (as amended) / Clause Sec 43A.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</si>
  <si>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and maintain reasonable security practices and procedures (e.g., ISO/IEC 27001) for all sensitive personal data/information stored, processed, or handled in computer resources.</t>
  </si>
  <si>
    <t>Review security policy; verify SPDI inventory; check for breach incidents; confirm contractual clauses with processors</t>
  </si>
  <si>
    <t>Annual / On Change</t>
  </si>
  <si>
    <t>Security policy document; ISO 27001 certificate or equivalent; SPDI policy; Incident register</t>
  </si>
  <si>
    <t>Manual review and sign-off by CISO / DPO, in line with the defined periodicity (Annual / On Change); exceptions/deviations escalated for corrective action.</t>
  </si>
  <si>
    <t>No defined classification or inventory of sensitive personal data leading to uncontrolled exposure</t>
  </si>
  <si>
    <t>Establish visibility and control over sensitive data assets</t>
  </si>
  <si>
    <t>Classify and inventory all sensitive personal data (passwords, financial info, health records, biometrics) as per SPDI Rules 2011</t>
  </si>
  <si>
    <t>This checkpoint tests whether the organisation has addressed the risk of no defined classification or inventory of sensitive personal data leading to uncontrolled exposure, as required under IT Act 2000 (as amended) / Clause Sec 43A. It is a manual preventive control; the auditor's objective is to independently verify that the stated control has been designed and implemented as described, and is operating effectively to bring the high inherent risk down to an acceptable residual level.</t>
  </si>
  <si>
    <t>Confirm that classify and inventory all sensitive personal data (passwords, financial info, health records, biometrics) as per SPDI Rules 2011.</t>
  </si>
  <si>
    <t>Verify SPDI register is current; check data flow diagrams are documented; confirm classification tags are applied</t>
  </si>
  <si>
    <t>Data Owner / IT Head</t>
  </si>
  <si>
    <t>Semi-Annual</t>
  </si>
  <si>
    <t>SPDI data inventory register; data flow diagram; classification policy</t>
  </si>
  <si>
    <t>Manual review and sign-off by Data Owner / IT Head, in line with the defined periodicity (Semi-Annual); exceptions/deviations escalated for corrective action.</t>
  </si>
  <si>
    <t>LEG-002</t>
  </si>
  <si>
    <t>IT Act 2000 – Chapter XI</t>
  </si>
  <si>
    <t>Chapter XI</t>
  </si>
  <si>
    <t>Sec 72</t>
  </si>
  <si>
    <t>Unauthorised disclosure of electronic records/information obtained under IT Act powers</t>
  </si>
  <si>
    <t>Prevent breach of confidentiality and privacy of electronic records</t>
  </si>
  <si>
    <t>Enforce confidentiality controls to prevent disclosure of electronic records accessed under IT Act powers without consent; include NDA/AUP for all personnel with access</t>
  </si>
  <si>
    <t>This checkpoint tests whether the organisation has addressed the risk of unauthorised disclosure of electronic records/information obtained under IT Act powers, as required under IT Act 2000 (as amended) / Clause Sec 72. It is a semi-auto preventive control; the auditor's objective is to independently verify that the stated control has been designed and implemented as described, and is operating effectively to bring the high inherent risk down to an acceptable residual level.</t>
  </si>
  <si>
    <t>Confirm that enforce confidentiality controls to prevent disclosure of electronic records accessed under IT Act powers without consent.</t>
  </si>
  <si>
    <t>Review NDA/AUP coverage; test DLP controls; review access logs for unauthorised disclosure events</t>
  </si>
  <si>
    <t>Signed NDAs; AUP acknowledgements; access logs; DLP reports</t>
  </si>
  <si>
    <t>System-generated reports reviewed periodically alongside manual verification by CISO / Legal, in line with the defined periodicity (Annual); deviations reported for corrective action.</t>
  </si>
  <si>
    <t>Sec 72A</t>
  </si>
  <si>
    <t>Personnel or intermediaries disclosing personal information in breach of lawful contract</t>
  </si>
  <si>
    <t>Prevent unlawful disclosure of personal information by intermediaries</t>
  </si>
  <si>
    <t>Enforce contractual data confidentiality obligations on all intermediaries and service providers; include breach liability clauses</t>
  </si>
  <si>
    <t>This checkpoint tests whether the organisation has addressed the risk of personnel or intermediaries disclosing personal information in breach of lawful contract, as required under IT Act 2000 (as amended) / Clause Sec 72A. It is a manual preventive control; the auditor's objective is to independently verify that the stated control has been designed and implemented as described, and is operating effectively to bring the high inherent risk down to an acceptable residual level.</t>
  </si>
  <si>
    <t>Confirm that enforce contractual data confidentiality obligations on all intermediaries and service providers.</t>
  </si>
  <si>
    <t>Review vendor/partner contracts for Sec 72A clauses; verify incident history; confirm third-party audits conducted</t>
  </si>
  <si>
    <t>Legal / Vendor Management</t>
  </si>
  <si>
    <t>Vendor contracts with data clauses; third-party audit reports; breach notification register</t>
  </si>
  <si>
    <t>Manual review and sign-off by Legal / Vendor Management, in line with the defined periodicity (Annual); exceptions/deviations escalated for corrective action.</t>
  </si>
  <si>
    <t>LEG-003</t>
  </si>
  <si>
    <t>IT Act 2000 – Chapter II</t>
  </si>
  <si>
    <t>Chapter II</t>
  </si>
  <si>
    <t>Sec 3 / Sec 3A</t>
  </si>
  <si>
    <t>Use of unreliable or non-compliant electronic authentication techniques leading to invalid transactions</t>
  </si>
  <si>
    <t>Ensure legal validity of electronic authentication</t>
  </si>
  <si>
    <t>Ensure all digital/electronic signatures used are from CCA-licensed Certifying Authorities and conform to asymmetric crypto + hash function requirements</t>
  </si>
  <si>
    <t>This checkpoint tests whether the organisation has addressed the risk of use of unreliable or non-compliant electronic authentication techniques leading to invalid transactions, as required under IT Act 2000 (as amended) / Clause Sec 3 / Sec 3A. It is a auto preventive control; the auditor's objective is to independently verify that the stated control has been designed and implemented as described, and is operating effectively to bring the high inherent risk down to an acceptable residual level.</t>
  </si>
  <si>
    <t>Confirm that ensure all digital/electronic signatures used are from CCA-licensed Certifying Authorities and conform to asymmetric crypto + hash function requirements.</t>
  </si>
  <si>
    <t>Verify all DSCs are from licensed CAs; check certificate validity and revocation status; confirm hash algorithm compliance</t>
  </si>
  <si>
    <t>IT Head / PKI Admin</t>
  </si>
  <si>
    <t>DSC/eSC certificates with CA details; CCA licence verification; cryptographic standards document</t>
  </si>
  <si>
    <t>System-generated alerts and reports are monitored by IT Head / PKI Admin, in line with the defined periodicity (Annual); exceptions are escalated for corrective action.</t>
  </si>
  <si>
    <t>LEG-004</t>
  </si>
  <si>
    <t>IT Act 2000 – Chapter V</t>
  </si>
  <si>
    <t>Chapter V</t>
  </si>
  <si>
    <t>Sec 14–16</t>
  </si>
  <si>
    <t>Secure electronic records or signatures not protected by prescribed security procedures</t>
  </si>
  <si>
    <t>Maintain integrity and non-repudiation of electronic records</t>
  </si>
  <si>
    <t>Apply prescribed security procedures and practices to electronic records and signatures to ensure they qualify as 'secure' under the Act</t>
  </si>
  <si>
    <t>This checkpoint tests whether the organisation has addressed the risk of secure electronic records or signatures not protected by prescribed security procedures, as required under IT Act 2000 (as amended) / Clause Sec 14–16. It is a auto preventive control; the auditor's objective is to independently verify that the stated control has been designed and implemented as described, and is operating effectively to bring the medium inherent risk down to an acceptable residual level.</t>
  </si>
  <si>
    <t>Confirm that apply prescribed security procedures and practices to electronic records and signatures to ensure they qualify as 'secure' under the Act.</t>
  </si>
  <si>
    <t>Verify security procedure implementation; review HSM usage for private key storage; test record integrity at point of verification</t>
  </si>
  <si>
    <t>PKI Admin / CISO</t>
  </si>
  <si>
    <t>Security procedure policy; HSM audit logs; key management documentation</t>
  </si>
  <si>
    <t>System-generated alerts and reports are monitored by PKI Admin / CISO, in line with the defined periodicity (Annual); exceptions are escalated for corrective action.</t>
  </si>
  <si>
    <t>LEG-005</t>
  </si>
  <si>
    <t>IT Act 2000 – Chapter VIII</t>
  </si>
  <si>
    <t>Chapter VIII</t>
  </si>
  <si>
    <t>Sec 42</t>
  </si>
  <si>
    <t>Private key compromise leading to fraudulent digital signatures</t>
  </si>
  <si>
    <t>Prevent misuse of private keys and fraudulent signing</t>
  </si>
  <si>
    <t>Implement controls to ensure subscribers retain exclusive control of private keys; define key compromise notification procedure to CA</t>
  </si>
  <si>
    <t>This checkpoint tests whether the organisation has addressed the risk of private key compromise leading to fraudulent digital signatures, as required under IT Act 2000 (as amended) / Clause Sec 42. It is a semi-auto detective / corrective control; the auditor's objective is to independently verify that the stated control has been designed and implemented as described, and is operating effectively to bring the high inherent risk down to an acceptable residual level.</t>
  </si>
  <si>
    <t>Confirm that implement controls to ensure subscribers retain exclusive control of private keys.</t>
  </si>
  <si>
    <t>Review key management policy; verify HSM is used for key storage; test CA notification process on simulated compromise</t>
  </si>
  <si>
    <t>Detective / Corrective</t>
  </si>
  <si>
    <t>PKI Admin / IT Head</t>
  </si>
  <si>
    <t>Key management policy; HSM logs; CA notification records on compromise</t>
  </si>
  <si>
    <t>System-generated reports reviewed periodically alongside manual verification by PKI Admin / IT Head, in line with the defined periodicity (Continuous); deviations reported for corrective action.</t>
  </si>
  <si>
    <t>LEG-006</t>
  </si>
  <si>
    <t>IT Act 2000 – Chapter VII</t>
  </si>
  <si>
    <t>Chapter VII</t>
  </si>
  <si>
    <t>Sec 35–39</t>
  </si>
  <si>
    <t>Use of suspended or revoked Digital Signature Certificates in transactions</t>
  </si>
  <si>
    <t>Prevent reliance on invalid or revoked certificates</t>
  </si>
  <si>
    <t>Implement automated DSC validity checks (including CRL/OCSP verification) before accepting any digitally signed document</t>
  </si>
  <si>
    <t>This checkpoint tests whether the organisation has addressed the risk of use of suspended or revoked Digital Signature Certificates in transactions, as required under IT Act 2000 (as amended) / Clause Sec 35–39. It is a auto preventive control; the auditor's objective is to independently verify that the stated control has been designed and implemented as described, and is operating effectively to bring the high inherent risk down to an acceptable residual level.</t>
  </si>
  <si>
    <t>Confirm that implement automated DSC validity checks (including CRL/OCSP verification) before accepting any digitally signed document.</t>
  </si>
  <si>
    <t>Test DSC validation workflow in applications; verify CRL/OCSP endpoints are live; sample-check signed transaction logs</t>
  </si>
  <si>
    <t>IT / Application Team</t>
  </si>
  <si>
    <t>CRL/OCSP check logs; DSC validation policy; application security config</t>
  </si>
  <si>
    <t>System-generated alerts and reports are monitored by IT / Application Team, in line with the defined periodicity (Continuous); exceptions are escalated for corrective action.</t>
  </si>
  <si>
    <t>Sec 43(a)–(j)</t>
  </si>
  <si>
    <t>Unauthorised access to computer systems, data download, virus introduction, damage or DoS attacks</t>
  </si>
  <si>
    <t>Prevent unauthorised access, damage, disruption to computer resources</t>
  </si>
  <si>
    <t>Implement access control, network segmentation, anti-malware, IDS/IPS, and vulnerability management to prevent Sec 43 violations</t>
  </si>
  <si>
    <t>This checkpoint tests whether the organisation has addressed the risk of unauthorised access to computer systems, data download, virus introduction, damage or DoS attacks, as required under IT Act 2000 (as amended) / Clause Sec 43(a)–(j). It is a auto preventive control; the auditor's objective is to independently verify that the stated control has been designed and implemented as described, and is operating effectively to bring the high inherent risk down to an acceptable residual level.</t>
  </si>
  <si>
    <t>Confirm that implement access control, network segmentation, anti-malware, IDS/IPS, and vulnerability management to prevent Sec 43 violations.</t>
  </si>
  <si>
    <t>Review access control matrix; verify IDS/IPS is operational; check VAPT findings remediation; test network segmentation</t>
  </si>
  <si>
    <t>CISO / IT Security</t>
  </si>
  <si>
    <t>VAPT reports; IDS/IPS alerts; access control matrix; antivirus reports; patch management logs</t>
  </si>
  <si>
    <t>System-generated alerts and reports are monitored by CISO / IT Security, in line with the defined periodicity (Continuous); exceptions are escalated for corrective action.</t>
  </si>
  <si>
    <t>Sec 66</t>
  </si>
  <si>
    <t>Dishonest/fraudulent acts against computer resources attracting criminal liability</t>
  </si>
  <si>
    <t>Detect and prevent computer-related offences under Sec 66</t>
  </si>
  <si>
    <t>Define acceptable use policy; implement fraud detection controls; log all critical transactions with tamper-evident audit trails</t>
  </si>
  <si>
    <t>This checkpoint tests whether the organisation has addressed the risk of dishonest/fraudulent acts against computer resources attracting criminal liability, as required under IT Act 2000 (as amended) / Clause Sec 66. It is a semi-auto detective control; the auditor's objective is to independently verify that the stated control has been designed and implemented as described, and is operating effectively to bring the high inherent risk down to an acceptable residual level.</t>
  </si>
  <si>
    <t>Confirm that define acceptable use policy.</t>
  </si>
  <si>
    <t>Review SIEM for anomaly alerts; verify audit trail integrity; check AUP coverage and acknowledgements</t>
  </si>
  <si>
    <t>AUP; SIEM logs; fraud incident register; audit trail reports</t>
  </si>
  <si>
    <t>System-generated reports reviewed periodically alongside manual verification by CISO / Compliance, in line with the defined periodicity (Continuous); deviations reported for corrective action.</t>
  </si>
  <si>
    <t>Sec 66C</t>
  </si>
  <si>
    <t>Identity theft through fraudulent use of electronic signatures, passwords, or unique identifiers</t>
  </si>
  <si>
    <t>Prevent identity theft and impersonation</t>
  </si>
  <si>
    <t>Implement MFA for all privileged and user accounts; enforce password policies; monitor for credential misuse</t>
  </si>
  <si>
    <t>This checkpoint tests whether the organisation has addressed the risk of identity theft through fraudulent use of electronic signatures, passwords, or unique identifiers, as required under IT Act 2000 (as amended) / Clause Sec 66C. It is a auto preventive control; the auditor's objective is to independently verify that the stated control has been designed and implemented as described, and is operating effectively to bring the high inherent risk down to an acceptable residual level.</t>
  </si>
  <si>
    <t>Confirm that implement MFA for all privileged and user accounts.</t>
  </si>
  <si>
    <t>Verify MFA is enforced for all accounts; review IAM logs for credential misuse alerts; confirm password complexity policy is active</t>
  </si>
  <si>
    <t>IAM / IT Security</t>
  </si>
  <si>
    <t>MFA configuration evidence; password policy; IAM audit logs; privileged access review</t>
  </si>
  <si>
    <t>System-generated alerts and reports are monitored by IAM / IT Security, in line with the defined periodicity (Continuous); exceptions are escalated for corrective action.</t>
  </si>
  <si>
    <t>Sec 66E</t>
  </si>
  <si>
    <t>Capture or transmission of private area images without consent violating individual privacy</t>
  </si>
  <si>
    <t>Prevent privacy violations through image capture/transmission</t>
  </si>
  <si>
    <t>Enforce CCTV/surveillance usage policy; restrict screen capture/recording tools; apply DLP controls on image transmission</t>
  </si>
  <si>
    <t>This checkpoint tests whether the organisation has addressed the risk of capture or transmission of private area images without consent violating individual privacy, as required under IT Act 2000 (as amended) / Clause Sec 66E. It is a semi-auto preventive control; the auditor's objective is to independently verify that the stated control has been designed and implemented as described, and is operating effectively to bring the medium inherent risk down to an acceptable residual level.</t>
  </si>
  <si>
    <t>Confirm that enforce CCTV/surveillance usage policy.</t>
  </si>
  <si>
    <t>Review surveillance/DLP policy; test DLP image-transfer restrictions; verify employee awareness training completion</t>
  </si>
  <si>
    <t>HR / IT Security</t>
  </si>
  <si>
    <t>Surveillance policy; DLP configuration; employee awareness training records</t>
  </si>
  <si>
    <t>System-generated reports reviewed periodically alongside manual verification by HR / IT Security, in line with the defined periodicity (Annual); deviations reported for corrective action.</t>
  </si>
  <si>
    <t>Sec 66F</t>
  </si>
  <si>
    <t>Cyber terrorism – denial of access, unauthorised penetration, or contaminant introduction threatening national security</t>
  </si>
  <si>
    <t>Prevent and detect cyber terrorism threats</t>
  </si>
  <si>
    <t>Implement CII-aligned security controls; conduct regular VAPT/red team exercises; establish incident response plan for cyber terrorism scenarios</t>
  </si>
  <si>
    <t>This checkpoint tests whether the organisation has addressed the risk of cyber terrorism – denial of access, unauthorised penetration, or contaminant introduction threatening national security, as required under IT Act 2000 (as amended) / Clause Sec 66F. It is a manual preventive / detective control; the auditor's objective is to independently verify that the stated control has been designed and implemented as described, and is operating effectively to bring the high inherent risk down to an acceptable residual level.</t>
  </si>
  <si>
    <t>Confirm that implement CII-aligned security controls.</t>
  </si>
  <si>
    <t>Verify IRP includes cyber terrorism scenario; review CERT-In reporting compliance; assess CII designation and controls</t>
  </si>
  <si>
    <t>Preventive / Detective</t>
  </si>
  <si>
    <t>CII classification document; VAPT/red team reports; IRP; CERT-In reporting register</t>
  </si>
  <si>
    <t>Manual review and sign-off by CISO / Senior Management, in line with the defined periodicity (Annual); exceptions/deviations escalated for corrective action.</t>
  </si>
  <si>
    <t>LEG-007</t>
  </si>
  <si>
    <t>IT Act 2000 – Chapter III</t>
  </si>
  <si>
    <t>Chapter III</t>
  </si>
  <si>
    <t>Sec 4 / Sec 7</t>
  </si>
  <si>
    <t>Electronic records not retained in admissible format or for required period</t>
  </si>
  <si>
    <t>Ensure legal admissibility and availability of electronic records</t>
  </si>
  <si>
    <t>Define and implement electronic records retention policy ensuring records are accessible, in original or accurate format, with origin/destination/timestamp metadata intact</t>
  </si>
  <si>
    <t>This checkpoint tests whether the organisation has addressed the risk of electronic records not retained in admissible format or for required period, as required under IT Act 2000 (as amended) / Clause Sec 4 / Sec 7. It is a semi-auto preventive control; the auditor's objective is to independently verify that the stated control has been designed and implemented as described, and is operating effectively to bring the medium inherent risk down to an acceptable residual level.</t>
  </si>
  <si>
    <t>Confirm that define and implement electronic records retention policy ensuring records are accessible, in original or accurate format, with origin/destination/timestamp metadata intact.</t>
  </si>
  <si>
    <t>Review retention policy against legal requirements; verify DMS retention settings; sample-test record retrieval and format integrity</t>
  </si>
  <si>
    <t>IT Head / Compliance</t>
  </si>
  <si>
    <t>Records retention policy; DMS/EDRMS configuration; retention schedule; audit logs</t>
  </si>
  <si>
    <t>System-generated reports reviewed periodically alongside manual verification by IT Head / Compliance, in line with the defined periodicity (Annual); deviations reported for corrective action.</t>
  </si>
  <si>
    <t>Sec 7A</t>
  </si>
  <si>
    <t>Electronic records maintained in digital form not subject to audit as required by applicable law</t>
  </si>
  <si>
    <t>Ensure compliance with mandatory audit requirements for digital records</t>
  </si>
  <si>
    <t>Ensure electronic records subject to statutory audit are maintained in auditable format; provide auditors with requisite access</t>
  </si>
  <si>
    <t>This checkpoint tests whether the organisation has addressed the risk of electronic records maintained in digital form not subject to audit as required by applicable law, as required under IT Act 2000 (as amended) / Clause Sec 7A. It is a manual detective control; the auditor's objective is to independently verify that the stated control has been designed and implemented as described, and is operating effectively to bring the medium inherent risk down to an acceptable residual level.</t>
  </si>
  <si>
    <t>Confirm that ensure electronic records subject to statutory audit are maintained in auditable format.</t>
  </si>
  <si>
    <t>Verify auditor access to electronic records; check audit reports reference electronic form records; confirm format supports audit trail</t>
  </si>
  <si>
    <t>Compliance / Finance</t>
  </si>
  <si>
    <t>Audit access logs; auditor engagement letter; electronic record audit reports</t>
  </si>
  <si>
    <t>Manual review and sign-off by Compliance / Finance, in line with the defined periodicity (Annual); exceptions/deviations escalated for corrective action.</t>
  </si>
  <si>
    <t>LEG-008</t>
  </si>
  <si>
    <t>IT Act 2000 – Chapter XII</t>
  </si>
  <si>
    <t>Chapter XII</t>
  </si>
  <si>
    <t>Sec 79</t>
  </si>
  <si>
    <t>Intermediary loses safe harbour protection due to failure to observe due diligence or non-compliance with IT (Intermediary Guidelines) Rules</t>
  </si>
  <si>
    <t>Maintain intermediary safe harbour under Sec 79</t>
  </si>
  <si>
    <t>Comply with Intermediary Guidelines Rules 2021; implement due diligence framework; establish grievance redressal mechanism; publish privacy policy and T&amp;Cs</t>
  </si>
  <si>
    <t>This checkpoint tests whether the organisation has addressed the risk of intermediary loses safe harbour protection due to failure to observe due diligence or non-compliance with IT (Intermediary Guidelines) Rules, as required under IT Act 2000 (as amended) / Clause Sec 79. It is a manual preventive control; the auditor's objective is to independently verify that the stated control has been designed and implemented as described, and is operating effectively to bring the high inherent risk down to an acceptable residual level.</t>
  </si>
  <si>
    <t>Confirm that comply with Intermediary Guidelines Rules 2021.</t>
  </si>
  <si>
    <t>Verify Grievance Officer is appointed and notified; review T&amp;C/privacy policy publication; check takedown response timelines</t>
  </si>
  <si>
    <t>Legal / Compliance</t>
  </si>
  <si>
    <t>Intermediary guidelines compliance register; grievance officer appointment; published T&amp;C/privacy policy; takedown records</t>
  </si>
  <si>
    <t>Manual review and sign-off by Legal / Compliance, in line with the defined periodicity (Annual); exceptions/deviations escalated for corrective action.</t>
  </si>
  <si>
    <t>Sec 67C</t>
  </si>
  <si>
    <t>Intermediary fails to preserve and retain information as prescribed</t>
  </si>
  <si>
    <t>Ensure intermediary obligations for information preservation are met</t>
  </si>
  <si>
    <t>Implement data preservation and retention controls per Central Government prescriptions; maintain logs for required duration</t>
  </si>
  <si>
    <t>This checkpoint tests whether the organisation has addressed the risk of intermediary fails to preserve and retain information as prescribed, as required under IT Act 2000 (as amended) / Clause Sec 67C. It is a auto preventive control; the auditor's objective is to independently verify that the stated control has been designed and implemented as described, and is operating effectively to bring the high inherent risk down to an acceptable residual level.</t>
  </si>
  <si>
    <t>Confirm that implement data preservation and retention controls per Central Government prescriptions.</t>
  </si>
  <si>
    <t>Verify log retention periods in SIEM; check log integrity controls; review policy against prescribed requirements</t>
  </si>
  <si>
    <t>Log retention policy; SIEM/log management config; retention audit report</t>
  </si>
  <si>
    <t>System-generated alerts and reports are monitored by IT Head / Compliance, in line with the defined periodicity (Continuous); exceptions are escalated for corrective action.</t>
  </si>
  <si>
    <t>Sec 69 / 69A / 69B</t>
  </si>
  <si>
    <t>Failure to assist authorised government agencies for lawful interception, blocking, or traffic data monitoring</t>
  </si>
  <si>
    <t>Ensure timely and lawful compliance with government interception/monitoring directives</t>
  </si>
  <si>
    <t>Define lawful interception response procedure; maintain point of contact for government agency requests; train legal/IT team on compliance obligations</t>
  </si>
  <si>
    <t>This checkpoint tests whether the organisation has addressed the risk of failure to assist authorised government agencies for lawful interception, blocking, or traffic data monitoring, as required under IT Act 2000 (as amended) / Clause Sec 69 / 69A / 69B. It is a manual preventive / corrective control; the auditor's objective is to independently verify that the stated control has been designed and implemented as described, and is operating effectively to bring the high inherent risk down to an acceptable residual level.</t>
  </si>
  <si>
    <t>Confirm that define lawful interception response procedure.</t>
  </si>
  <si>
    <t>Verify SOP exists and is current; confirm legal/IT contacts are designated; review response log (if any) for timeliness</t>
  </si>
  <si>
    <t>Preventive / Corrective</t>
  </si>
  <si>
    <t>Lawful interception SOP; legal team training records; government request register (confidential)</t>
  </si>
  <si>
    <t>Manual review and sign-off by Legal / CISO, in line with the defined periodicity (Annual); exceptions/deviations escalated for corrective action.</t>
  </si>
  <si>
    <t>Sec 70</t>
  </si>
  <si>
    <t>Unauthorised access to protected systems / Critical Information Infrastructure</t>
  </si>
  <si>
    <t>Prevent unauthorised access to protected/CII systems</t>
  </si>
  <si>
    <t>Identify CII-designated systems; implement enhanced access controls, monitoring, and security practices as prescribed; restrict access to authorised persons only</t>
  </si>
  <si>
    <t>This checkpoint tests whether the organisation has addressed the risk of unauthorised access to protected systems / Critical Information Infrastructure, as required under IT Act 2000 (as amended) / Clause Sec 70. It is a auto preventive control; the auditor's objective is to independently verify that the stated control has been designed and implemented as described, and is operating effectively to bring the high inherent risk down to an acceptable residual level.</t>
  </si>
  <si>
    <t>Confirm that identify CII-designated systems.</t>
  </si>
  <si>
    <t>Review CII system inventory; verify access authorisation records; confirm NCIIPC guidelines are implemented; test access controls</t>
  </si>
  <si>
    <t>CISO / IT Head</t>
  </si>
  <si>
    <t>CII system register; access authorisation records; NCIIPC compliance evidence; security assessment reports</t>
  </si>
  <si>
    <t>System-generated alerts and reports are monitored by CISO / IT Head, in line with the defined periodicity (Continuous); exceptions are escalated for corrective action.</t>
  </si>
  <si>
    <t>Sec 43 / Sec 46</t>
  </si>
  <si>
    <t>Organisation liable to pay compensation for computer system damage due to lack of controls</t>
  </si>
  <si>
    <t>Minimise financial liability under Sec 43 penalty provisions</t>
  </si>
  <si>
    <t>Maintain documented controls addressing all Sec 43(a)–(j) violation scenarios; ensure adjudication readiness</t>
  </si>
  <si>
    <t>This checkpoint tests whether the organisation has addressed the risk of organisation liable to pay compensation for computer system damage due to lack of controls, as required under IT Act 2000 (as amended) / Clause Sec 43 / Sec 46. It is a manual corrective control; the auditor's objective is to independently verify that the stated control has been designed and implemented as described, and is operating effectively to bring the medium inherent risk down to an acceptable residual level.</t>
  </si>
  <si>
    <t>Confirm that maintain documented controls addressing all Sec 43(a)–(j) violation scenarios.</t>
  </si>
  <si>
    <t>Map existing controls to each Sec 43 sub-clause; verify incident documentation readiness for adjudication</t>
  </si>
  <si>
    <t>Control evidence mapped to Sec 43 sub-clauses; legal counsel retainer; incident documentation</t>
  </si>
  <si>
    <t>Sec 65</t>
  </si>
  <si>
    <t>Tampering with computer source code required to be maintained by law</t>
  </si>
  <si>
    <t>Prevent tampering with mandatorily retained source code</t>
  </si>
  <si>
    <t>Implement source code version control with access restrictions, integrity checks, and audit trails; prevent unauthorised modification</t>
  </si>
  <si>
    <t>This checkpoint tests whether the organisation has addressed the risk of tampering with computer source code required to be maintained by law, as required under IT Act 2000 (as amended) / Clause Sec 65. It is a semi-auto detective / preventive control; the auditor's objective is to independently verify that the stated control has been designed and implemented as described, and is operating effectively to bring the high inherent risk down to an acceptable residual level.</t>
  </si>
  <si>
    <t>Confirm that implement source code version control with access restrictions, integrity checks, and audit trails.</t>
  </si>
  <si>
    <t>Review version control access rights; verify audit trail of source code changes; check integrity hash records</t>
  </si>
  <si>
    <t>Detective / Preventive</t>
  </si>
  <si>
    <t>Development Lead / IT Head</t>
  </si>
  <si>
    <t>Source code repository access logs; version control audit trail; code integrity policy</t>
  </si>
  <si>
    <t>System-generated reports reviewed periodically alongside manual verification by Development Lead / IT Head, in line with the defined periodicity (Continuous); deviations reported for corrective action.</t>
  </si>
  <si>
    <t>Sec 71</t>
  </si>
  <si>
    <t>Misrepresentation to Controller or Certifying Authority for licence/certificate procurement</t>
  </si>
  <si>
    <t>Prevent misrepresentation in regulatory filings</t>
  </si>
  <si>
    <t>Ensure all representations made to CCA, CA or Controller for licences/certificates are accurate; maintain records of submissions</t>
  </si>
  <si>
    <t>This checkpoint tests whether the organisation has addressed the risk of misrepresentation to Controller or Certifying Authority for licence/certificate procurement, as required under IT Act 2000 (as amended) / Clause Sec 71. It is a manual preventive control; the auditor's objective is to independently verify that the stated control has been designed and implemented as described, and is operating effectively to bring the medium inherent risk down to an acceptable residual level.</t>
  </si>
  <si>
    <t>Confirm that ensure all representations made to CCA, CA or Controller for licences/certificates are accurate.</t>
  </si>
  <si>
    <t>Review CA/CCA application records for accuracy; verify internal sign-off process before submissions</t>
  </si>
  <si>
    <t>Legal / PKI Admin</t>
  </si>
  <si>
    <t>On Event</t>
  </si>
  <si>
    <t>CA application records; declaration forms; internal review sign-off</t>
  </si>
  <si>
    <t>Manual review and sign-off by Legal / PKI Admin, in line with the defined periodicity (On Event); exceptions/deviations escalated for corrective action.</t>
  </si>
  <si>
    <t>Sec 70B</t>
  </si>
  <si>
    <t>Non-compliance with CERT-In directions for cyber incident reporting and information sharing</t>
  </si>
  <si>
    <t>Ensure timely compliance with CERT-In national incident response obligations</t>
  </si>
  <si>
    <t>Establish CERT-In incident reporting mechanism; comply with reporting timelines (6 hours for critical incidents per CERT-In directions 2022); maintain incident register</t>
  </si>
  <si>
    <t>This checkpoint tests whether the organisation has addressed the risk of non-compliance with CERT-In directions for cyber incident reporting and information sharing, as required under IT Act 2000 (as amended) / Clause Sec 70B. It is a manual preventive / corrective control; the auditor's objective is to independently verify that the stated control has been designed and implemented as described, and is operating effectively to bring the high inherent risk down to an acceptable residual level.</t>
  </si>
  <si>
    <t>Confirm that establish CERT-In incident reporting mechanism.</t>
  </si>
  <si>
    <t>Verify CERT-In reporting SOP and timelines; review past incident reports; check CERT-In advisory action register</t>
  </si>
  <si>
    <t>CERT-In incident reports; 6-hour reporting evidence; incident response SOP; CERT-In advisory compliance log</t>
  </si>
  <si>
    <t>Manual review and sign-off by CISO / Incident Response Team, in line with the defined periodicity (Continuous); exceptions/deviations escalated for corrective action.</t>
  </si>
  <si>
    <t>ISO-001</t>
  </si>
  <si>
    <t>ISMS (ISO 27001) Management System</t>
  </si>
  <si>
    <t>Context of the Organisation</t>
  </si>
  <si>
    <t>ISO/IEC 27001:2022</t>
  </si>
  <si>
    <t>4. Context of the Organisation</t>
  </si>
  <si>
    <t>4.1</t>
  </si>
  <si>
    <t>Failure to understand organisational context</t>
  </si>
  <si>
    <t>Ensure ISMS scope reflects organisational context.</t>
  </si>
  <si>
    <t>Determine external and internal issues relevant to the ISMS purpose and intended outcomes.</t>
  </si>
  <si>
    <t>This checkpoint tests whether the organisation has addressed the risk of failure to understand organisational context, as required under ISO/IEC 27001:2022 / Clause 4.1. It is a manual preventive control; the auditor's objective is to independently verify that the stated control has been designed and implemented as described, and is operating effectively to bring the high inherent risk down to an acceptable residual level.</t>
  </si>
  <si>
    <t>Confirm that determine external and internal issues relevant to the ISMS purpose and intended outcomes.</t>
  </si>
  <si>
    <t>1. Obtain context analysis document.
2. Verify internal/external issues identified.
3. Check alignment with ISO 31000.</t>
  </si>
  <si>
    <t>Top Management / CISO</t>
  </si>
  <si>
    <t>Context analysis document, PESTLE/SWOT analysis</t>
  </si>
  <si>
    <t>Manual review and sign-off by Top Management / CISO, in line with the defined periodicity (Annual review); exceptions/deviations escalated for corrective action.</t>
  </si>
  <si>
    <t>4.2</t>
  </si>
  <si>
    <t>Failure to identify interested party requirements</t>
  </si>
  <si>
    <t>Ensure all stakeholder requirements are identified and addressed.</t>
  </si>
  <si>
    <t>Determine interested parties, their requirements and which requirements will be addressed through the ISMS.</t>
  </si>
  <si>
    <t>This checkpoint tests whether the organisation has addressed the risk of failure to identify interested party requirements, as required under ISO/IEC 27001:2022 / Clause 4.2. It is a manual preventive control; the auditor's objective is to independently verify that the stated control has been designed and implemented as described, and is operating effectively to bring the high inherent risk down to an acceptable residual level.</t>
  </si>
  <si>
    <t>Confirm that determine interested parties, their requirements and which requirements will be addressed through the ISMS.</t>
  </si>
  <si>
    <t>1. Obtain interested parties register.
2. Verify legal/regulatory/contractual requirements included.
3. Check requirements are addressed in ISMS.</t>
  </si>
  <si>
    <t>Interested parties register, requirements matrix</t>
  </si>
  <si>
    <t>4.3</t>
  </si>
  <si>
    <t>Inadequate ISMS scope definition</t>
  </si>
  <si>
    <t>Ensure ISMS scope is clearly defined and documented.</t>
  </si>
  <si>
    <t>Determine ISMS boundaries and applicability considering internal/external issues, interested party requirements and organisational interfaces.</t>
  </si>
  <si>
    <t>This checkpoint tests whether the organisation has addressed the risk of inadequate ISMS scope definition, as required under ISO/IEC 27001:2022 / Clause 4.3. It is a manual preventive control; the auditor's objective is to independently verify that the stated control has been designed and implemented as described, and is operating effectively to bring the high inherent risk down to an acceptable residual level.</t>
  </si>
  <si>
    <t>Confirm that determine ISMS boundaries and applicability considering internal/external issues, interested party requirements and organisational interfaces.</t>
  </si>
  <si>
    <t>1. Obtain ISMS scope document.
2. Verify consideration of 4.1 and 4.2 inputs.
3. Check interfaces and dependencies.</t>
  </si>
  <si>
    <t>ISMS scope document</t>
  </si>
  <si>
    <t>4.4</t>
  </si>
  <si>
    <t>Absence of established ISMS</t>
  </si>
  <si>
    <t>Ensure a functioning ISMS is in place.</t>
  </si>
  <si>
    <t>Establish, implement, maintain and continually improve an ISMS including processes needed and their interactions.</t>
  </si>
  <si>
    <t>This checkpoint tests whether the organisation has addressed the risk of absence of established ISMS, as required under ISO/IEC 27001:2022 / Clause 4.4.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</si>
  <si>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implement, maintain and continually improve an ISMS including processes needed and their interactions.</t>
  </si>
  <si>
    <t>1. Verify ISMS documentation suite exists.
2. Check process interactions are defined.
3. Confirm continual improvement mechanisms.</t>
  </si>
  <si>
    <t>ISMS documentation suite, process maps</t>
  </si>
  <si>
    <t>Manual review and sign-off by Top Management / CISO, in line with the defined periodicity (Continuous); exceptions/deviations escalated for corrective action.</t>
  </si>
  <si>
    <t>ISO-002</t>
  </si>
  <si>
    <t>Leadership</t>
  </si>
  <si>
    <t>5. Leadership</t>
  </si>
  <si>
    <t>5.1</t>
  </si>
  <si>
    <t>Lack of leadership commitment to ISMS</t>
  </si>
  <si>
    <t>Ensure top management actively supports the ISMS.</t>
  </si>
  <si>
    <t>Top management shall demonstrate leadership and commitment including policy alignment, resource provision, integration into processes and promoting continual improvement.</t>
  </si>
  <si>
    <t>This checkpoint tests whether the organisation has addressed the risk of lack of leadership commitment to ISMS, as required under ISO/IEC 27001:2022 / Clause 5.1. It is a manual preventive control; the auditor's objective is to independently verify that the stated control has been designed and implemented as described, and is operating effectively to bring the high inherent risk down to an acceptable residual level.</t>
  </si>
  <si>
    <t>Confirm that top management shall demonstrate leadership and commitment including policy alignment, resource provision, integration into processes and promoting continual improvement.</t>
  </si>
  <si>
    <t>1. Review board minutes for ISMS agenda items.
2. Verify resource allocation.
3. Check communication of ISMS importance.</t>
  </si>
  <si>
    <t>Top Management</t>
  </si>
  <si>
    <t>Board minutes, management review records, resource allocation records</t>
  </si>
  <si>
    <t>Manual review and sign-off by Top Management, in line with the defined periodicity (Annual review); exceptions/deviations escalated for corrective action.</t>
  </si>
  <si>
    <t>5.2</t>
  </si>
  <si>
    <t>Absence of IS policy</t>
  </si>
  <si>
    <t>Provide management direction for information security.</t>
  </si>
  <si>
    <t>Establish an IS policy appropriate to the organisation's purpose, including objectives, commitment to requirements and continual improvement.</t>
  </si>
  <si>
    <t>This checkpoint tests whether the organisation has addressed the risk of absence of IS policy, as required under ISO/IEC 27001:2022 / Clause 5.2.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</si>
  <si>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an IS policy appropriate to the organisation's purpose, including objectives, commitment to requirements and continual improvement.</t>
  </si>
  <si>
    <t>1. Obtain IS policy.
2. Verify Board approval.
3. Check communication and availability.
4. Confirm periodic review.</t>
  </si>
  <si>
    <t>Approved IS policy document, communication records</t>
  </si>
  <si>
    <t>5.3</t>
  </si>
  <si>
    <t>Undefined IS roles and authorities</t>
  </si>
  <si>
    <t>Ensure clear accountability for ISMS.</t>
  </si>
  <si>
    <t>Assign and communicate responsibilities and authorities for IS roles including ISMS conformity and performance reporting.</t>
  </si>
  <si>
    <t>This checkpoint tests whether the organisation has addressed the risk of undefined IS roles and authorities, as required under ISO/IEC 27001:2022 / Clause 5.3. It is a manual preventive control; the auditor's objective is to independently verify that the stated control has been designed and implemented as described, and is operating effectively to bring the high inherent risk down to an acceptable residual level.</t>
  </si>
  <si>
    <t>Confirm that assign and communicate responsibilities and authorities for IS roles including ISMS conformity and performance reporting.</t>
  </si>
  <si>
    <t>1. Obtain RACI matrix.
2. Verify role assignments.
3. Check reporting lines to top management.</t>
  </si>
  <si>
    <t>RACI matrix, role descriptions, appointment letters</t>
  </si>
  <si>
    <t>ISO-003</t>
  </si>
  <si>
    <t>Planning</t>
  </si>
  <si>
    <t>6. Planning</t>
  </si>
  <si>
    <t>6.1.1</t>
  </si>
  <si>
    <t>Failure to address IS risks and opportunities</t>
  </si>
  <si>
    <t>Ensure ISMS achieves intended outcomes and prevents undesired effects.</t>
  </si>
  <si>
    <t>Determine risks and opportunities considering context and interested party requirements; plan actions to address them.</t>
  </si>
  <si>
    <t>This checkpoint tests whether the organisation has addressed the risk of failure to address IS risks and opportunities, as required under ISO/IEC 27001:2022 / Clause 6.1.1. It is a manual preventive control; the auditor's objective is to independently verify that the stated control has been designed and implemented as described, and is operating effectively to bring the high inherent risk down to an acceptable residual level.</t>
  </si>
  <si>
    <t>Confirm that determine risks and opportunities considering context and interested party requirements.</t>
  </si>
  <si>
    <t>1. Verify risk and opportunity identification process.
2. Check action plans.
3. Review effectiveness evaluation.</t>
  </si>
  <si>
    <t>Annual / Ongoing</t>
  </si>
  <si>
    <t>Risk register, opportunity assessment</t>
  </si>
  <si>
    <t>Manual review and sign-off by CISO / Risk Manager, in line with the defined periodicity (Annual / Ongoing); exceptions/deviations escalated for corrective action.</t>
  </si>
  <si>
    <t>6.1.2</t>
  </si>
  <si>
    <t>Inadequate IS risk assessment</t>
  </si>
  <si>
    <t>Ensure systematic identification and analysis of IS risks.</t>
  </si>
  <si>
    <t>Define and apply an IS risk assessment process with acceptance criteria, consistent and comparable results, risk identification, analysis and evaluation.</t>
  </si>
  <si>
    <t>This checkpoint tests whether the organisation has addressed the risk of inadequate IS risk assessment, as required under ISO/IEC 27001:2022 / Clause 6.1.2. It is a manual preventive control; the auditor's objective is to independently verify that the stated control has been designed and implemented as described, and is operating effectively to bring the high inherent risk down to an acceptable residual level.</t>
  </si>
  <si>
    <t>Confirm that define and apply an IS risk assessment process with acceptance criteria, consistent and comparable results, risk identification, analysis and evaluation.</t>
  </si>
  <si>
    <t>1. Obtain risk assessment methodology.
2. Verify risk criteria defined.
3. Review risk assessment reports.
4. Check risk ownership.</t>
  </si>
  <si>
    <t>Annual / On change</t>
  </si>
  <si>
    <t>Risk assessment methodology, risk assessment reports</t>
  </si>
  <si>
    <t>Manual review and sign-off by CISO / Risk Manager, in line with the defined periodicity (Annual / On change); exceptions/deviations escalated for corrective action.</t>
  </si>
  <si>
    <t>6.1.3</t>
  </si>
  <si>
    <t>Inadequate IS risk treatment</t>
  </si>
  <si>
    <t>Ensure appropriate controls are selected and implemented.</t>
  </si>
  <si>
    <t>Define and apply risk treatment process; produce Statement of Applicability with justifications; formulate risk treatment plan with risk owner approval.</t>
  </si>
  <si>
    <t>This checkpoint tests whether the organisation has addressed the risk of inadequate IS risk treatment, as required under ISO/IEC 27001:2022 / Clause 6.1.3. It is a manual preventive control; the auditor's objective is to independently verify that the stated control has been designed and implemented as described, and is operating effectively to bring the high inherent risk down to an acceptable residual level.</t>
  </si>
  <si>
    <t>Confirm that define and apply risk treatment process.</t>
  </si>
  <si>
    <t>1. Obtain SoA with justifications.
2. Verify risk treatment options selected.
3. Check Annex A control comparison.
4. Confirm risk owner approvals.</t>
  </si>
  <si>
    <t>Risk treatment plan, SoA, risk owner approvals</t>
  </si>
  <si>
    <t>6.2</t>
  </si>
  <si>
    <t>Absence of IS objectives</t>
  </si>
  <si>
    <t>Provide direction for IS improvement.</t>
  </si>
  <si>
    <t>Establish measurable IS objectives at relevant functions and levels, consistent with policy, monitored and documented.</t>
  </si>
  <si>
    <t>This checkpoint tests whether the organisation has addressed the risk of absence of IS objectives, as required under ISO/IEC 27001:2022 / Clause 6.2. It is a manual preventive control; the auditor's objective is to independently verify that the stated control has been designed and implemented as described, and is operating effectively to bring the medium inherent risk down to an acceptable residual level.</t>
  </si>
  <si>
    <t>Confirm that establish measurable IS objectives at relevant functions and levels, consistent with policy, monitored and documented.</t>
  </si>
  <si>
    <t>1. Obtain IS objectives.
2. Verify measurability.
3. Check monitoring and communication.</t>
  </si>
  <si>
    <t>IS objectives document, measurement records</t>
  </si>
  <si>
    <t>Manual review and sign-off by CISO, in line with the defined periodicity (Annual review); exceptions/deviations escalated for corrective action.</t>
  </si>
  <si>
    <t>ISO-004</t>
  </si>
  <si>
    <t>Support</t>
  </si>
  <si>
    <t>7. Support</t>
  </si>
  <si>
    <t>7.1-7.5</t>
  </si>
  <si>
    <t>Insufficient ISMS support resources</t>
  </si>
  <si>
    <t>Ensure adequate support for ISMS operation.</t>
  </si>
  <si>
    <t>Provide resources, ensure competence, promote awareness, define communications and control documented information for the ISMS.</t>
  </si>
  <si>
    <t>This checkpoint tests whether the organisation has addressed the risk of insufficient ISMS support resources, as required under ISO/IEC 27001:2022 / Clause 7.1-7.5. It is a manual preventive control; the auditor's objective is to independently verify that the stated control has been designed and implemented as described, and is operating effectively to bring the medium inherent risk down to an acceptable residual level.</t>
  </si>
  <si>
    <t>Confirm that provide resources, ensure competence, promote awareness, define communications and control documented information for the ISMS.</t>
  </si>
  <si>
    <t>1. Verify resource adequacy.
2. Check competence records.
3. Review awareness programme.
4. Verify document control.</t>
  </si>
  <si>
    <t>Resource allocation records, training records, documented information register</t>
  </si>
  <si>
    <t>Manual review and sign-off by CISO / HR, in line with the defined periodicity (Annual review); exceptions/deviations escalated for corrective action.</t>
  </si>
  <si>
    <t>ISO-005</t>
  </si>
  <si>
    <t>Operation</t>
  </si>
  <si>
    <t>8. Operation</t>
  </si>
  <si>
    <t>8.1-8.3</t>
  </si>
  <si>
    <t>Inadequate operational planning and control</t>
  </si>
  <si>
    <t>Ensure ISMS processes are effectively operated.</t>
  </si>
  <si>
    <t>Plan, implement and control ISMS processes; perform risk assessments at planned intervals; implement risk treatment plan.</t>
  </si>
  <si>
    <t>This checkpoint tests whether the organisation has addressed the risk of inadequate operational planning and control, as required under ISO/IEC 27001:2022 / Clause 8.1-8.3. It is a manual preventive control; the auditor's objective is to independently verify that the stated control has been designed and implemented as described, and is operating effectively to bring the high inherent risk down to an acceptable residual level.</t>
  </si>
  <si>
    <t>Confirm that plan, implement and control ISMS processes.</t>
  </si>
  <si>
    <t>1. Verify operational criteria.
2. Check risk assessment frequency.
3. Review risk treatment implementation.</t>
  </si>
  <si>
    <t>As planned</t>
  </si>
  <si>
    <t>Operational procedures, risk assessment results, risk treatment results</t>
  </si>
  <si>
    <t>Manual review and sign-off by CISO, in line with the defined periodicity (As planned); exceptions/deviations escalated for corrective action.</t>
  </si>
  <si>
    <t>ISO-006</t>
  </si>
  <si>
    <t>Performance Evaluation</t>
  </si>
  <si>
    <t>9. Performance Evaluation</t>
  </si>
  <si>
    <t>9.1</t>
  </si>
  <si>
    <t>Lack of ISMS performance monitoring</t>
  </si>
  <si>
    <t>Ensure ISMS performance is measured and evaluated.</t>
  </si>
  <si>
    <t>Determine what to monitor/measure, methods, timing and responsibilities; evaluate IS performance and ISMS effectiveness.</t>
  </si>
  <si>
    <t>This checkpoint tests whether the organisation has addressed the risk of lack of ISMS performance monitoring, as required under ISO/IEC 27001:2022 / Clause 9.1. It is a semi-auto detective control; the auditor's objective is to independently verify that the stated control has been designed and implemented as described, and is operating effectively to bring the medium inherent risk down to an acceptable residual level.</t>
  </si>
  <si>
    <t>Confirm that determine what to monitor/measure, methods, timing and responsibilities.</t>
  </si>
  <si>
    <t>1. Verify monitoring parameters defined.
2. Check measurement methods.
3. Review performance reports.</t>
  </si>
  <si>
    <t>As defined</t>
  </si>
  <si>
    <t>Monitoring reports, KPI dashboards</t>
  </si>
  <si>
    <t>System-generated reports reviewed periodically alongside manual verification by CISO, in line with the defined periodicity (As defined); deviations reported for corrective action.</t>
  </si>
  <si>
    <t>9.2</t>
  </si>
  <si>
    <t>Inadequate internal audit programme</t>
  </si>
  <si>
    <t>Provide independent assurance of ISMS conformity and effectiveness.</t>
  </si>
  <si>
    <t>Conduct internal audits at planned intervals; define audit criteria, scope, methods; ensure auditor objectivity; report results to management.</t>
  </si>
  <si>
    <t>This checkpoint tests whether the organisation has addressed the risk of inadequate internal audit programme, as required under ISO/IEC 27001:2022 / Clause 9.2. It is a manual detective control; the auditor's objective is to independently verify that the stated control has been designed and implemented as described, and is operating effectively to bring the high inherent risk down to an acceptable residual level.</t>
  </si>
  <si>
    <t>Confirm that conduct internal audits at planned intervals.</t>
  </si>
  <si>
    <t>1. Obtain audit programme.
2. Verify audit scope covers full ISMS.
3. Check auditor independence.
4. Review findings and corrective actions.</t>
  </si>
  <si>
    <t>Internal Audit</t>
  </si>
  <si>
    <t>As planned (at least annual)</t>
  </si>
  <si>
    <t>Audit programme, audit reports, corrective action tracker</t>
  </si>
  <si>
    <t>Manual review and sign-off by Internal Audit, in line with the defined periodicity (As planned (at least annual)); exceptions/deviations escalated for corrective action.</t>
  </si>
  <si>
    <t>9.3</t>
  </si>
  <si>
    <t>Lack of management review</t>
  </si>
  <si>
    <t>Ensure continuing suitability, adequacy and effectiveness of ISMS.</t>
  </si>
  <si>
    <t>Conduct management reviews considering audit results, risk assessment status, interested party feedback and improvement opportunities.</t>
  </si>
  <si>
    <t>This checkpoint tests whether the organisation has addressed the risk of lack of management review, as required under ISO/IEC 27001:2022 / Clause 9.3. It is a manual detective control; the auditor's objective is to independently verify that the stated control has been designed and implemented as described, and is operating effectively to bring the high inherent risk down to an acceptable residual level.</t>
  </si>
  <si>
    <t>Confirm that conduct management reviews considering audit results, risk assessment status, interested party feedback and improvement opportunities.</t>
  </si>
  <si>
    <t>1. Obtain management review minutes.
2. Verify all required inputs considered.
3. Check decisions and action items.</t>
  </si>
  <si>
    <t>At planned intervals</t>
  </si>
  <si>
    <t>Management review minutes, action items tracker</t>
  </si>
  <si>
    <t>Manual review and sign-off by Top Management, in line with the defined periodicity (At planned intervals); exceptions/deviations escalated for corrective action.</t>
  </si>
  <si>
    <t>ISO-007</t>
  </si>
  <si>
    <t>Improvement</t>
  </si>
  <si>
    <t>10. Improvement</t>
  </si>
  <si>
    <t>10.1-10.2</t>
  </si>
  <si>
    <t>Absence of continual improvement and corrective action</t>
  </si>
  <si>
    <t>Drive continual improvement of the ISMS.</t>
  </si>
  <si>
    <t>Continually improve ISMS; react to nonconformities, determine causes, implement corrective actions and evaluate effectiveness.</t>
  </si>
  <si>
    <t>This checkpoint tests whether the organisation has addressed the risk of absence of continual improvement and corrective action, as required under ISO/IEC 27001:2022 / Clause 10.1-10.2. It is a manual corrective control; the auditor's objective is to independently verify that the stated control has been designed and implemented as described, and is operating effectively to bring the medium inherent risk down to an acceptable residual level.</t>
  </si>
  <si>
    <t>Confirm that continually improve ISMS.</t>
  </si>
  <si>
    <t>1. Obtain NC register.
2. Verify root cause analysis.
3. Check corrective action effectiveness.
4. Review improvement initiatives.</t>
  </si>
  <si>
    <t>NC register, corrective action records, root cause analysis</t>
  </si>
  <si>
    <t>ISM-015</t>
  </si>
  <si>
    <t>ISO 27001 Annex A – Organisational Controls</t>
  </si>
  <si>
    <t>Annex A - Organisational Controls</t>
  </si>
  <si>
    <t>A.5.1</t>
  </si>
  <si>
    <t>Absence of IS policies</t>
  </si>
  <si>
    <t>Define, approve, publish and communicate IS policy and topic-specific policies; review at planned intervals.</t>
  </si>
  <si>
    <t>This checkpoint tests whether the organisation has addressed the risk of absence of IS policies, as required under ISO/IEC 27001:2022 / Clause A.5.1. It is a manual preventive control; the auditor's objective is to independently verify that the stated control has been designed and implemented as described, and is operating effectively to bring the high inherent risk down to an acceptable residual level.</t>
  </si>
  <si>
    <t>Confirm that define, approve, publish and communicate IS policy and topic-specific policies.</t>
  </si>
  <si>
    <t>1. Obtain IS policy suite.
2. Verify approval and communication.
3. Check review schedule.</t>
  </si>
  <si>
    <t>Approved IS policy suite, communication records</t>
  </si>
  <si>
    <t>A.5.2-5.4</t>
  </si>
  <si>
    <t>Undefined roles and management responsibilities</t>
  </si>
  <si>
    <t>Ensure clear IS accountability and duty segregation.</t>
  </si>
  <si>
    <t>Define IS roles/responsibilities; segregate conflicting duties; require all personnel to apply IS per established policies.</t>
  </si>
  <si>
    <t>This checkpoint tests whether the organisation has addressed the risk of undefined roles and management responsibilities, as required under ISO/IEC 27001:2022 / Clause A.5.2-5.4. It is a manual preventive control; the auditor's objective is to independently verify that the stated control has been designed and implemented as described, and is operating effectively to bring the high inherent risk down to an acceptable residual level.</t>
  </si>
  <si>
    <t>Confirm that define IS roles/responsibilities.</t>
  </si>
  <si>
    <t>1. Verify role definitions.
2. Check SoD matrix.
3. Confirm management directive.</t>
  </si>
  <si>
    <t>RACI matrix, segregation of duties matrix</t>
  </si>
  <si>
    <t>A.5.5-5.6</t>
  </si>
  <si>
    <t>Lack of authority and special interest group contacts</t>
  </si>
  <si>
    <t>Ensure timely access to security advice and intelligence.</t>
  </si>
  <si>
    <t>Establish and maintain contact with relevant authorities and special interest groups/security forums.</t>
  </si>
  <si>
    <t>This checkpoint tests whether the organisation has addressed the risk of lack of authority and special interest group contacts, as required under ISO/IEC 27001:2022 / Clause A.5.5-5.6. It is a manual preventive control; the auditor's objective is to independently verify that the stated control has been designed and implemented as described, and is operating effectively to bring the medium inherent risk down to an acceptable residual level.</t>
  </si>
  <si>
    <t>Confirm that establish and maintain contact with relevant authorities and special interest groups/security forums.</t>
  </si>
  <si>
    <t>1. Verify authority contact list.
2. Check security forum memberships.</t>
  </si>
  <si>
    <t>Contact registers, membership records</t>
  </si>
  <si>
    <t>A.5.7</t>
  </si>
  <si>
    <t>Absence of threat intelligence</t>
  </si>
  <si>
    <t>Maintain awareness of threat landscape.</t>
  </si>
  <si>
    <t>Collect and analyse information relating to IS threats to produce threat intelligence.</t>
  </si>
  <si>
    <t>This checkpoint tests whether the organisation has addressed the risk of absence of threat intelligence, as required under ISO/IEC 27001:2022 / Clause A.5.7. It is a semi-auto detective control; the auditor's objective is to independently verify that the stated control has been designed and implemented as described, and is operating effectively to bring the high inherent risk down to an acceptable residual level.</t>
  </si>
  <si>
    <t>Confirm that collect and analyse information relating to IS threats to produce threat intelligence.</t>
  </si>
  <si>
    <t>1. Verify threat intelligence sources.
2. Review analysis reports.
3. Check integration with risk assessment.</t>
  </si>
  <si>
    <t>CISO / SOC</t>
  </si>
  <si>
    <t>Threat intelligence feeds, analysis reports</t>
  </si>
  <si>
    <t>System-generated reports reviewed periodically alongside manual verification by CISO / SOC, in line with the defined periodicity (Continuous); deviations reported for corrective action.</t>
  </si>
  <si>
    <t>A.5.8-5.14</t>
  </si>
  <si>
    <t>Inadequate asset and information management</t>
  </si>
  <si>
    <t>Ensure comprehensive management of information assets.</t>
  </si>
  <si>
    <t>Integrate IS into project management; maintain asset inventory with owners; define acceptable use rules; classify and label information; control information transfer.</t>
  </si>
  <si>
    <t>This checkpoint tests whether the organisation has addressed the risk of inadequate asset and information management, as required under ISO/IEC 27001:2022 / Clause A.5.8-5.14. It is a semi-auto preventive control; the auditor's objective is to independently verify that the stated control has been designed and implemented as described, and is operating effectively to bring the high inherent risk down to an acceptable residual level.</t>
  </si>
  <si>
    <t>Confirm that integrate IS into project management.</t>
  </si>
  <si>
    <t>1. Verify IS in project management.
2. Check asset inventory completeness.
3. Review classification scheme.
4. Check transfer controls.</t>
  </si>
  <si>
    <t>CISO / Asset Owners</t>
  </si>
  <si>
    <t>Annual review / Per project</t>
  </si>
  <si>
    <t>Asset register, classification scheme, transfer procedures</t>
  </si>
  <si>
    <t>System-generated reports reviewed periodically alongside manual verification by CISO / Asset Owners, in line with the defined periodicity (Annual review / Per project); deviations reported for corrective action.</t>
  </si>
  <si>
    <t>A.5.15-5.18</t>
  </si>
  <si>
    <t>Inadequate access control</t>
  </si>
  <si>
    <t>Ensure controlled access to information and assets.</t>
  </si>
  <si>
    <t>Establish access control rules; manage identity lifecycle; control authentication information; provision, review, modify and remove access rights.</t>
  </si>
  <si>
    <t>This checkpoint tests whether the organisation has addressed the risk of inadequate access control, as required under ISO/IEC 27001:2022 / Clause A.5.15-5.18. It is a semi-auto preventive control; the auditor's objective is to independently verify that the stated control has been designed and implemented as described, and is operating effectively to bring the high inherent risk down to an acceptable residual level.</t>
  </si>
  <si>
    <t>Confirm that establish access control rules.</t>
  </si>
  <si>
    <t>1. Verify access control rules.
2. Check identity lifecycle management.
3. Review access rights periodically.</t>
  </si>
  <si>
    <t>IT Admin / CISO</t>
  </si>
  <si>
    <t>Quarterly review</t>
  </si>
  <si>
    <t>Access control policy, identity management procedures, UAR reports</t>
  </si>
  <si>
    <t>System-generated reports reviewed periodically alongside manual verification by IT Admin / CISO, in line with the defined periodicity (Quarterly review); deviations reported for corrective action.</t>
  </si>
  <si>
    <t>A.5.19-5.23</t>
  </si>
  <si>
    <t>Inadequate supplier and cloud security</t>
  </si>
  <si>
    <t>Ensure third parties and cloud services do not compromise security.</t>
  </si>
  <si>
    <t>Manage supplier IS risks; address IS in agreements; manage ICT supply chain risks; monitor supplier services; secure cloud service acquisition and use.</t>
  </si>
  <si>
    <t>This checkpoint tests whether the organisation has addressed the risk of inadequate supplier and cloud security, as required under ISO/IEC 27001:2022 / Clause A.5.19-5.23. It is a manual preventive control; the auditor's objective is to independently verify that the stated control has been designed and implemented as described, and is operating effectively to bring the high inherent risk down to an acceptable residual level.</t>
  </si>
  <si>
    <t>Confirm that manage supplier IS risks.</t>
  </si>
  <si>
    <t>1. Verify supplier IS policy.
2. Check contract IS clauses.
3. Review supplier monitoring.
4. Check cloud security controls.</t>
  </si>
  <si>
    <t>Supplier IS policy, contracts, monitoring reports, cloud security policy</t>
  </si>
  <si>
    <t>Manual review and sign-off by Procurement / CISO, in line with the defined periodicity (Annual review); exceptions/deviations escalated for corrective action.</t>
  </si>
  <si>
    <t>A.5.24-5.28</t>
  </si>
  <si>
    <t>Inadequate incident management</t>
  </si>
  <si>
    <t>Ensure effective response to IS incidents.</t>
  </si>
  <si>
    <t>Plan and prepare for IS incidents; assess and categorise events; respond per procedures; learn from incidents; collect evidence.</t>
  </si>
  <si>
    <t>This checkpoint tests whether the organisation has addressed the risk of inadequate incident management, as required under ISO/IEC 27001:2022 / Clause A.5.24-5.28. It is a semi-auto corrective control; the auditor's objective is to independently verify that the stated control has been designed and implemented as described, and is operating effectively to bring the high inherent risk down to an acceptable residual level.</t>
  </si>
  <si>
    <t>Confirm that plan and prepare for IS incidents.</t>
  </si>
  <si>
    <t>1. Verify incident management plan.
2. Check event categorisation criteria.
3. Review incident response records.
4. Check evidence collection procedures.</t>
  </si>
  <si>
    <t>Incident management procedures, incident register, evidence handling SOP</t>
  </si>
  <si>
    <t>A.5.29-5.30</t>
  </si>
  <si>
    <t>Inadequate IS continuity</t>
  </si>
  <si>
    <t>Ensure IS is maintained during disruptions.</t>
  </si>
  <si>
    <t>Maintain IS during disruption; plan, implement, maintain and test ICT readiness for business continuity.</t>
  </si>
  <si>
    <t>This checkpoint tests whether the organisation has addressed the risk of inadequate IS continuity, as required under ISO/IEC 27001:2022 / Clause A.5.29-5.30. It is a manual corrective control; the auditor's objective is to independently verify that the stated control has been designed and implemented as described, and is operating effectively to bring the high inherent risk down to an acceptable residual level.</t>
  </si>
  <si>
    <t>Confirm that maintain IS during disruption.</t>
  </si>
  <si>
    <t>1. Obtain IS continuity plans.
2. Verify ICT readiness testing.
3. Review test results and improvements.</t>
  </si>
  <si>
    <t>CISO / BCP Coordinator</t>
  </si>
  <si>
    <t>Annual review / Semi-annual testing</t>
  </si>
  <si>
    <t>IS continuity plan, ICT readiness plan, test reports</t>
  </si>
  <si>
    <t>Manual review and sign-off by CISO / BCP Coordinator, in line with the defined periodicity (Annual review / Semi-annual testing); exceptions/deviations escalated for corrective action.</t>
  </si>
  <si>
    <t>A.5.31-5.37</t>
  </si>
  <si>
    <t>Non-compliance and inadequate documentation</t>
  </si>
  <si>
    <t>Ensure legal compliance and adequate documentation.</t>
  </si>
  <si>
    <t>Identify legal/regulatory requirements; protect IP; protect records; ensure PII privacy; conduct independent IS reviews; ensure compliance; document operating procedures.</t>
  </si>
  <si>
    <t>This checkpoint tests whether the organisation has addressed the risk of non-compliance and inadequate documentation, as required under ISO/IEC 27001:2022 / Clause A.5.31-5.37. It is a manual preventive control; the auditor's objective is to independently verify that the stated control has been designed and implemented as described, and is operating effectively to bring the high inherent risk down to an acceptable residual level.</t>
  </si>
  <si>
    <t>Confirm that identify legal/regulatory requirements.</t>
  </si>
  <si>
    <t>1. Verify legal requirements register.
2. Check IP protection.
3. Review records management.
4. Verify PII protection.
5. Check independent review schedule.</t>
  </si>
  <si>
    <t>Legal / CISO / DPO</t>
  </si>
  <si>
    <t>Legal register, IP protection procedures, records management policy, privacy procedures, independent review reports</t>
  </si>
  <si>
    <t>Manual review and sign-off by Legal / CISO / DPO, in line with the defined periodicity (Annual review); exceptions/deviations escalated for corrective action.</t>
  </si>
  <si>
    <t>ISM-016</t>
  </si>
  <si>
    <t>ISO 27001 Annex A – People Controls</t>
  </si>
  <si>
    <t>Annex A - People Controls</t>
  </si>
  <si>
    <t>A.6.1-6.8</t>
  </si>
  <si>
    <t>Inadequate people security controls</t>
  </si>
  <si>
    <t>Ensure people-related IS risks are managed.</t>
  </si>
  <si>
    <t>Implement screening, employment terms, awareness training, disciplinary process, post-termination responsibilities, NDAs, remote working security and event reporting.</t>
  </si>
  <si>
    <t>This checkpoint tests whether the organisation has addressed the risk of inadequate people security controls, as required under ISO/IEC 27001:2022 / Clause A.6.1-6.8.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</si>
  <si>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screening, employment terms, awareness training, disciplinary process, post-termination responsibilities, NDAs, remote working security and event reporting.</t>
  </si>
  <si>
    <t>1. Verify screening procedures.
2. Check IS in employment terms.
3. Review training completion.
4. Verify NDA coverage.
5. Check remote working controls.</t>
  </si>
  <si>
    <t>HR / CISO</t>
  </si>
  <si>
    <t>At onboarding / Annual</t>
  </si>
  <si>
    <t>BGV reports, employment contracts, training records, NDA records, remote working policy</t>
  </si>
  <si>
    <t>Manual review and sign-off by HR / CISO, in line with the defined periodicity (At onboarding / Annual); exceptions/deviations escalated for corrective action.</t>
  </si>
  <si>
    <t>ISM-017</t>
  </si>
  <si>
    <t>ISO 27001 Annex A – Physical Controls</t>
  </si>
  <si>
    <t>Annex A - Physical Controls</t>
  </si>
  <si>
    <t>A.7.1-7.14</t>
  </si>
  <si>
    <t>Inadequate physical security controls</t>
  </si>
  <si>
    <t>Protect physical assets and premises.</t>
  </si>
  <si>
    <t>Implement physical perimeters, entry controls, office security, monitoring, environmental protection, secure area controls, clear desk/screen, equipment protection, storage media management, cabling security, maintenance, and secure disposal.</t>
  </si>
  <si>
    <t>This checkpoint tests whether the organisation has addressed the risk of inadequate physical security controls, as required under ISO/IEC 27001:2022 / Clause A.7.1-7.14.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</si>
  <si>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physical perimeters, entry controls, office security, monitoring, environmental protection, secure area controls, clear desk/screen, equipment protection, storage media management, cabling security, maintenance, and secure disposal.</t>
  </si>
  <si>
    <t>1. Verify security perimeters.
2. Check entry controls.
3. Review CCTV coverage.
4. Verify environmental controls.
5. Check disposal procedures.</t>
  </si>
  <si>
    <t>Facilities / CISO</t>
  </si>
  <si>
    <t>Annual review / Continuous</t>
  </si>
  <si>
    <t>Physical security policy, access logs, CCTV records, environmental monitoring, equipment register, disposal records</t>
  </si>
  <si>
    <t>System-generated reports reviewed periodically alongside manual verification by Facilities / CISO, in line with the defined periodicity (Annual review / Continuous); deviations reported for corrective action.</t>
  </si>
  <si>
    <t>ISM-018</t>
  </si>
  <si>
    <t>ISO 27001 Annex A – Technological Controls</t>
  </si>
  <si>
    <t>Annex A - Technological Controls</t>
  </si>
  <si>
    <t>A.8.1-8.5</t>
  </si>
  <si>
    <t>Inadequate endpoint and access controls</t>
  </si>
  <si>
    <t>Ensure technical access controls are robust.</t>
  </si>
  <si>
    <t>Protect user endpoint devices; restrict privileged access; enforce information access restriction; manage source code access; implement secure authentication.</t>
  </si>
  <si>
    <t>This checkpoint tests whether the organisation has addressed the risk of inadequate endpoint and access controls, as required under ISO/IEC 27001:2022 / Clause A.8.1-8.5. It is a semi-auto preventive control; the auditor's objective is to independently verify that the stated control has been designed and implemented as described, and is operating effectively to bring the high inherent risk down to an acceptable residual level.</t>
  </si>
  <si>
    <t>Confirm that protect user endpoint devices.</t>
  </si>
  <si>
    <t>1. Verify endpoint protection.
2. Check PAM implementation.
3. Review access restrictions.
4. Verify source code access controls.
5. Check MFA deployment.</t>
  </si>
  <si>
    <t>Continuous / Quarterly</t>
  </si>
  <si>
    <t>Endpoint policy, PAM configuration, access restriction rules, source code access controls, MFA configuration</t>
  </si>
  <si>
    <t>System-generated reports reviewed periodically alongside manual verification by IT Admin / CISO, in line with the defined periodicity (Continuous / Quarterly); deviations reported for corrective action.</t>
  </si>
  <si>
    <t>A.8.6-8.12</t>
  </si>
  <si>
    <t>Inadequate data and system protection</t>
  </si>
  <si>
    <t>Ensure system and data protection controls are effective.</t>
  </si>
  <si>
    <t>Manage capacity; protect against malware; manage technical vulnerabilities; manage configurations; implement information deletion, data masking and DLP.</t>
  </si>
  <si>
    <t>This checkpoint tests whether the organisation has addressed the risk of inadequate data and system protection, as required under ISO/IEC 27001:2022 / Clause A.8.6-8.12. It is a auto preventive control; the auditor's objective is to independently verify that the stated control has been designed and implemented as described, and is operating effectively to bring the high inherent risk down to an acceptable residual level.</t>
  </si>
  <si>
    <t>Confirm that manage capacity.</t>
  </si>
  <si>
    <t>1. Verify capacity monitoring.
2. Check malware protection.
3. Review vulnerability management.
4. Check configuration baselines.
5. Verify DLP controls.</t>
  </si>
  <si>
    <t>Capacity reports, AV reports, vulnerability scan reports, configuration baselines, deletion policy, DLP reports</t>
  </si>
  <si>
    <t>System-generated alerts and reports are monitored by IT Admin / CISO, in line with the defined periodicity (Continuous); exceptions are escalated for corrective action.</t>
  </si>
  <si>
    <t>A.8.13-8.17</t>
  </si>
  <si>
    <t>Inadequate backup, logging and monitoring</t>
  </si>
  <si>
    <t>Ensure data recoverability and security monitoring.</t>
  </si>
  <si>
    <t>Maintain backups; implement redundancy; produce and protect logs; monitor for anomalous behaviour; synchronise clocks.</t>
  </si>
  <si>
    <t>This checkpoint tests whether the organisation has addressed the risk of inadequate backup, logging and monitoring, as required under ISO/IEC 27001:2022 / Clause A.8.13-8.17. It is a auto detective control; the auditor's objective is to independently verify that the stated control has been designed and implemented as described, and is operating effectively to bring the high inherent risk down to an acceptable residual level.</t>
  </si>
  <si>
    <t>Confirm that maintain backups.</t>
  </si>
  <si>
    <t>1. Verify backup policy and testing.
2. Check log coverage.
3. Review monitoring alerts.
4. Verify clock synchronisation.</t>
  </si>
  <si>
    <t>IT Admin / SOC</t>
  </si>
  <si>
    <t>Backup policy, backup test reports, log configuration, SIEM reports, NTP configuration</t>
  </si>
  <si>
    <t>System-generated alerts and reports are monitored by IT Admin / SOC, in line with the defined periodicity (Continuous); exceptions are escalated for corrective action.</t>
  </si>
  <si>
    <t>A.8.18-8.24</t>
  </si>
  <si>
    <t>Inadequate network and system security</t>
  </si>
  <si>
    <t>Ensure network and system security controls.</t>
  </si>
  <si>
    <t>Control privileged utilities; manage software installation; secure networks and network services; segregate networks; implement web filtering and cryptography.</t>
  </si>
  <si>
    <t>This checkpoint tests whether the organisation has addressed the risk of inadequate network and system security, as required under ISO/IEC 27001:2022 / Clause A.8.18-8.24. It is a semi-auto preventive control; the auditor's objective is to independently verify that the stated control has been designed and implemented as described, and is operating effectively to bring the high inherent risk down to an acceptable residual level.</t>
  </si>
  <si>
    <t>Confirm that control privileged utilities.</t>
  </si>
  <si>
    <t>1. Verify utility controls.
2. Check software installation procedures.
3. Review network security.
4. Verify web filtering.
5. Check cryptographic controls.</t>
  </si>
  <si>
    <t>Utility control procedures, software installation policy, network security configuration, web filter logs, cryptography policy</t>
  </si>
  <si>
    <t>System-generated reports reviewed periodically alongside manual verification by IT Admin / CISO, in line with the defined periodicity (Continuous); deviations reported for corrective action.</t>
  </si>
  <si>
    <t>A.8.25-8.34</t>
  </si>
  <si>
    <t>Inadequate secure development controls</t>
  </si>
  <si>
    <t>Ensure security is embedded in development and change processes.</t>
  </si>
  <si>
    <t>Implement secure SDLC; define application security requirements; apply secure architecture principles; enforce secure coding; conduct security testing; manage outsourced development; separate environments; manage changes; protect test information and audit systems.</t>
  </si>
  <si>
    <t>This checkpoint tests whether the organisation has addressed the risk of inadequate secure development controls, as required under ISO/IEC 27001:2022 / Clause A.8.25-8.34.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</si>
  <si>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secure SDLC.</t>
  </si>
  <si>
    <t>1. Verify secure SDLC.
2. Check application security requirements.
3. Review secure coding standards.
4. Verify security testing.
5. Check environment separation.</t>
  </si>
  <si>
    <t>Dev Team / CISO</t>
  </si>
  <si>
    <t>Per project / Per release</t>
  </si>
  <si>
    <t>SDLC policy, security requirements, secure coding standards, security test reports, change management records</t>
  </si>
  <si>
    <t>Manual review and sign-off by Dev Team / CISO, in line with the defined periodicity (Per project / Per release); exceptions/deviations escalated for corrective action.</t>
  </si>
  <si>
    <t>RBI Circular DBS.CO.ITC.BC.No.6/31.02.008/2010-11 (Gopalakrishna Committee Guidelines)</t>
  </si>
  <si>
    <t>Chapter 1 - IT Governance</t>
  </si>
  <si>
    <t>Para (b)(ii)-(iii) - IT Strategy Committee</t>
  </si>
  <si>
    <t>IT Strategy Committee should be qualified, independent, and have Board-level participation, chaired by an independent director with the CIO as a member</t>
  </si>
  <si>
    <t>Ensure adequate Board-level oversight and technical competence over IT strategy</t>
  </si>
  <si>
    <t>Constitute a Board-level IT Strategy Committee with a minimum of two directors (one independent), technically competent members, at least one with substantial IT expertise, chaired by an independent director, with CIO as member.</t>
  </si>
  <si>
    <t>This checkpoint tests whether the organisation has addressed the risk of iT Strategy Committee should be qualified, independent, and have Board-level participation, chaired by an independent director with the CIO as a member, as required under RBI Circular DBS.CO.ITC.BC.No.6/31.02.008/2010-11 (Gopalakrishna Committee Guidelines) / Clause Para (b)(ii)-(iii) - IT Strategy Committee. It is a manual preventive control; the auditor's objective is to independently verify that the stated control has been designed and implemented as described, and is operating effectively to bring the high inherent risk down to an acceptable residual level.</t>
  </si>
  <si>
    <t>Confirm that constitute a Board-level IT Strategy Committee with a minimum of two directors (one independent), technically competent members, at least one with substantial IT expertise, chaired by an independent director, with CIO as member.</t>
  </si>
  <si>
    <t>Review Board resolution constituting the IT Strategy Committee; verify member composition, independence and IT expertise credentials.</t>
  </si>
  <si>
    <t>One-time / On change</t>
  </si>
  <si>
    <t>Board resolution; IT Strategy Committee charter; Director profiles</t>
  </si>
  <si>
    <t>Manual review and sign-off by Board / Company Secretary, in line with the defined periodicity (One-time / On change); exceptions/deviations escalated for corrective action.</t>
  </si>
  <si>
    <t>Para (b)(iii) - Committee Frequency</t>
  </si>
  <si>
    <t>IT Strategy Committee should meet at least four times a year with no more than four months between meetings</t>
  </si>
  <si>
    <t>Ensure adequate frequency of Board-level IT oversight</t>
  </si>
  <si>
    <t>Schedule and conduct IT Strategy Committee meetings at least quarterly; track gaps between meetings against the four-month limit.</t>
  </si>
  <si>
    <t>This checkpoint tests whether the organisation has addressed the risk of iT Strategy Committee should meet at least four times a year with no more than four months between meetings, as required under RBI Circular DBS.CO.ITC.BC.No.6/31.02.008/2010-11 (Gopalakrishna Committee Guidelines) / Clause Para (b)(iii) - Committee Frequency. It is a manual detective control; the auditor's objective is to independently verify that the stated control has been designed and implemented as described, and is operating effectively to bring the medium inherent risk down to an acceptable residual level.</t>
  </si>
  <si>
    <t>Confirm that schedule and conduct IT Strategy Committee meetings at least quarterly.</t>
  </si>
  <si>
    <t>Review meeting minutes and calendar to confirm at least four meetings per year with no gap exceeding four months.</t>
  </si>
  <si>
    <t>Company Secretary / IT Strategy Committee</t>
  </si>
  <si>
    <t>Meeting calendar; Minutes of meetings</t>
  </si>
  <si>
    <t>Manual review and sign-off by Company Secretary / IT Strategy Committee, in line with the defined periodicity (Quarterly); exceptions/deviations escalated for corrective action.</t>
  </si>
  <si>
    <t>Para (b)(iv) - Committee Powers</t>
  </si>
  <si>
    <t>IT Strategy Committee should have powers to oversee IT Steering Committee, investigate, seek information, and obtain external advice</t>
  </si>
  <si>
    <t>Ensure the committee has adequate authority to discharge its oversight role</t>
  </si>
  <si>
    <t>Document and formally approve the powers vested in the IT Strategy Committee (oversight of IT Steering Committee, investigation rights, access to external advice) in its charter.</t>
  </si>
  <si>
    <t>This checkpoint tests whether the organisation has addressed the risk of iT Strategy Committee should have powers to oversee IT Steering Committee, investigate, seek information, and obtain external advice, as required under RBI Circular DBS.CO.ITC.BC.No.6/31.02.008/2010-11 (Gopalakrishna Committee Guidelines) / Clause Para (b)(iv) - Committee Powers. It is a manual preventive control; the auditor's objective is to independently verify that the stated control has been designed and implemented as described, and is operating effectively to bring the medium inherent risk down to an acceptable residual level.</t>
  </si>
  <si>
    <t>Confirm that document and formally approve the powers vested in the IT Strategy Committee (oversight of IT Steering Committee, investigation rights, access to external advice) in its charter.</t>
  </si>
  <si>
    <t>Review committee charter for documented powers; confirm alignment with guidance.</t>
  </si>
  <si>
    <t>Board / Legal</t>
  </si>
  <si>
    <t>IT Strategy Committee charter</t>
  </si>
  <si>
    <t>Manual review and sign-off by Board / Legal, in line with the defined periodicity (One-time / On change); exceptions/deviations escalated for corrective action.</t>
  </si>
  <si>
    <t>Para (c) - Board/Committee Roles</t>
  </si>
  <si>
    <t>Board/IT Strategy Committee is responsible for approving IT strategy, ensuring alignment with business strategy, monitoring IT investments and risks</t>
  </si>
  <si>
    <t>Ensure Board-level accountability for IT strategy and value delivery</t>
  </si>
  <si>
    <t>Establish a documented RACI for Board and IT Strategy Committee covering approval of IT strategy/policy, alignment review, investment oversight, and risk monitoring.</t>
  </si>
  <si>
    <t>This checkpoint tests whether the organisation has addressed the risk of board/IT Strategy Committee is responsible for approving IT strategy, ensuring alignment with business strategy, monitoring IT investments and risks, as required under RBI Circular DBS.CO.ITC.BC.No.6/31.02.008/2010-11 (Gopalakrishna Committee Guidelines) / Clause Para (c) - Board/Committee Roles.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</si>
  <si>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a documented RACI for Board and IT Strategy Committee covering approval of IT strategy/policy, alignment review, investment oversight, and risk monitoring.</t>
  </si>
  <si>
    <t>Review Board minutes for IT strategy approval; verify periodic review of IT investment and risk reports.</t>
  </si>
  <si>
    <t>Board / CIO</t>
  </si>
  <si>
    <t>Board-approved IT strategy document; RACI matrix</t>
  </si>
  <si>
    <t>Manual review and sign-off by Board / CIO, in line with the defined periodicity (Annual); exceptions/deviations escalated for corrective action.</t>
  </si>
  <si>
    <t>Guidance - IT Steering Committee</t>
  </si>
  <si>
    <t>An IT Steering Committee with IT, HR, legal and business representation should assist Executive Management in implementing Board-approved IT strategy</t>
  </si>
  <si>
    <t>Ensure effective execution-level implementation of IT strategy</t>
  </si>
  <si>
    <t>Constitute an IT Steering Committee with cross-functional representation; define its role in project prioritisation, portfolio review, and monitoring service levels.</t>
  </si>
  <si>
    <t>This checkpoint tests whether the organisation has addressed the risk of an IT Steering Committee with IT, HR, legal and business representation should assist Executive Management in implementing Board-approved IT strategy, as required under RBI Circular DBS.CO.ITC.BC.No.6/31.02.008/2010-11 (Gopalakrishna Committee Guidelines) / Clause Guidance - IT Steering Committee. It is a manual preventive control; the auditor's objective is to independently verify that the stated control has been designed and implemented as described, and is operating effectively to bring the medium inherent risk down to an acceptable residual level.</t>
  </si>
  <si>
    <t>Confirm that constitute an IT Steering Committee with cross-functional representation.</t>
  </si>
  <si>
    <t>Review committee composition and minutes; verify reporting to IT Strategy Committee.</t>
  </si>
  <si>
    <t>CIO / Executive Management</t>
  </si>
  <si>
    <t>IT Steering Committee charter; Meeting minutes</t>
  </si>
  <si>
    <t>Manual review and sign-off by CIO / Executive Management, in line with the defined periodicity (One-time / On change); exceptions/deviations escalated for corrective action.</t>
  </si>
  <si>
    <t>Guidance (k) - CIO Appointment</t>
  </si>
  <si>
    <t>Bank needs a CIO at a level equivalent to CGM/GM with credible IT experience, as owner of IT function</t>
  </si>
  <si>
    <t>Ensure senior accountability for IT function and business-IT alignment</t>
  </si>
  <si>
    <t>Appoint a qualified CIO at CGM/GM-equivalent level with documented IT experience and formal reporting into executive decision-making.</t>
  </si>
  <si>
    <t>This checkpoint tests whether the organisation has addressed the risk of bank needs a CIO at a level equivalent to CGM/GM with credible IT experience, as owner of IT function, as required under RBI Circular DBS.CO.ITC.BC.No.6/31.02.008/2010-11 (Gopalakrishna Committee Guidelines) / Clause Guidance (k) - CIO Appointment. It is a manual preventive control; the auditor's objective is to independently verify that the stated control has been designed and implemented as described, and is operating effectively to bring the high inherent risk down to an acceptable residual level.</t>
  </si>
  <si>
    <t>Confirm that appoint a qualified CIO at CGM/GM-equivalent level with documented IT experience and formal reporting into executive decision-making.</t>
  </si>
  <si>
    <t>Verify CIO appointment letter, seniority level and reporting line; review experience credentials.</t>
  </si>
  <si>
    <t>Board / HR</t>
  </si>
  <si>
    <t>CIO appointment letter; Organisation chart</t>
  </si>
  <si>
    <t>Manual review and sign-off by Board / HR, in line with the defined periodicity (One-time / On change); exceptions/deviations escalated for corrective action.</t>
  </si>
  <si>
    <t>Para 1(a)-(b) - IT Strategy &amp; Policy</t>
  </si>
  <si>
    <t>Bank needs Board-approved IT strategy and policy covering architecture, procurement, sourcing, org structure, HR/training and technology roadmap</t>
  </si>
  <si>
    <t>Ensure IT direction is formally defined and endorsed by the Board</t>
  </si>
  <si>
    <t>Develop a comprehensive IT strategy and policy document covering hardware/network architecture, procurement strategy, sourcing strategy, IT organisation structure, HR/training plans and technology roadmap; obtain Board approval.</t>
  </si>
  <si>
    <t>This checkpoint tests whether the organisation has addressed the risk of bank needs Board-approved IT strategy and policy covering architecture, procurement, sourcing, org structure, HR/training and technology roadmap, as required under RBI Circular DBS.CO.ITC.BC.No.6/31.02.008/2010-11 (Gopalakrishna Committee Guidelines) / Clause Para 1(a)-(b) - IT Strategy &amp; Policy. It is a manual preventive control; the auditor's objective is to independently verify that the stated control has been designed and implemented as described, and is operating effectively to bring the high inherent risk down to an acceptable residual level.</t>
  </si>
  <si>
    <t>Confirm that develop a comprehensive IT strategy and policy document covering hardware/network architecture, procurement strategy, sourcing strategy, IT organisation structure, HR/training plans and technology roadmap.</t>
  </si>
  <si>
    <t>Review IT strategy document for required coverage areas and Board approval sign-off.</t>
  </si>
  <si>
    <t>CIO / Board</t>
  </si>
  <si>
    <t>Board-approved IT strategy &amp; policy document</t>
  </si>
  <si>
    <t>Manual review and sign-off by CIO / Board, in line with the defined periodicity (Annual / On change); exceptions/deviations escalated for corrective action.</t>
  </si>
  <si>
    <t>Para 1(e) - Annual Review</t>
  </si>
  <si>
    <t>IT strategy and policies need annual review considering changes to business plans and IT environment</t>
  </si>
  <si>
    <t>Keep IT strategy current and relevant to the business environment</t>
  </si>
  <si>
    <t>Conduct and document an annual review of IT strategy and policy, updating for changes in business plans, technology and regulatory environment.</t>
  </si>
  <si>
    <t>This checkpoint tests whether the organisation has addressed the risk of iT strategy and policies need annual review considering changes to business plans and IT environment, as required under RBI Circular DBS.CO.ITC.BC.No.6/31.02.008/2010-11 (Gopalakrishna Committee Guidelines) / Clause Para 1(e) - Annual Review. It is a manual detective control; the auditor's objective is to independently verify that the stated control has been designed and implemented as described, and is operating effectively to bring the medium inherent risk down to an acceptable residual level.</t>
  </si>
  <si>
    <t>Confirm that conduct and document an annual review of IT strategy and policy, updating for changes in business plans, technology and regulatory environment.</t>
  </si>
  <si>
    <t>Review annual review records and version history of IT strategy/policy documents.</t>
  </si>
  <si>
    <t>CIO / IT Strategy Committee</t>
  </si>
  <si>
    <t>Annual review report; Updated policy version log</t>
  </si>
  <si>
    <t>Manual review and sign-off by CIO / IT Strategy Committee, in line with the defined periodicity (Annual); exceptions/deviations escalated for corrective action.</t>
  </si>
  <si>
    <t>Para 1(h)-(i) - Enterprise Architecture</t>
  </si>
  <si>
    <t>Bank needs to establish an enterprise architecture framework and enterprise data dictionary to enable consistent, secure application development</t>
  </si>
  <si>
    <t>Ensure IT systems are built on a consistent, secure and interoperable architecture</t>
  </si>
  <si>
    <t>Establish and maintain an enterprise architecture framework and enterprise data dictionary defining data syntax rules to enable consistent, secure and interoperable systems.</t>
  </si>
  <si>
    <t>This checkpoint tests whether the organisation has addressed the risk of bank needs to establish an enterprise architecture framework and enterprise data dictionary to enable consistent, secure application development, as required under RBI Circular DBS.CO.ITC.BC.No.6/31.02.008/2010-11 (Gopalakrishna Committee Guidelines) / Clause Para 1(h)-(i) - Enterprise Architecture. It is a manual preventive control; the auditor's objective is to independently verify that the stated control has been designed and implemented as described, and is operating effectively to bring the medium inherent risk down to an acceptable residual level.</t>
  </si>
  <si>
    <t>Confirm that establish and maintain an enterprise architecture framework and enterprise data dictionary defining data syntax rules to enable consistent, secure and interoperable systems.</t>
  </si>
  <si>
    <t>Review enterprise architecture documentation and data dictionary for completeness and currency.</t>
  </si>
  <si>
    <t>CIO / Enterprise Architecture Team</t>
  </si>
  <si>
    <t>Enterprise architecture document; Data dictionary</t>
  </si>
  <si>
    <t>Manual review and sign-off by CIO / Enterprise Architecture Team, in line with the defined periodicity (One-time / On change); exceptions/deviations escalated for corrective action.</t>
  </si>
  <si>
    <t>Para 1(j) - Data Classification Scheme</t>
  </si>
  <si>
    <t>Bank needs an enterprise-wide data classification scheme based on criticality/sensitivity with defined ownership, security levels and retention</t>
  </si>
  <si>
    <t>Ensure information assets receive protection commensurate with sensitivity</t>
  </si>
  <si>
    <t>Define and implement an enterprise-wide data classification scheme (e.g. public/confidential/top-secret) covering ownership, protection controls, retention and destruction requirements.</t>
  </si>
  <si>
    <t>This checkpoint tests whether the organisation has addressed the risk of bank needs an enterprise-wide data classification scheme based on criticality/sensitivity with defined ownership, security levels and retention, as required under RBI Circular DBS.CO.ITC.BC.No.6/31.02.008/2010-11 (Gopalakrishna Committee Guidelines) / Clause Para 1(j) - Data Classification Scheme. It is a manual preventive control; the auditor's objective is to independently verify that the stated control has been designed and implemented as described, and is operating effectively to bring the high inherent risk down to an acceptable residual level.</t>
  </si>
  <si>
    <t>Confirm that define and implement an enterprise-wide data classification scheme (e.g. public/confidential/top-secret) covering ownership, protection controls, retention and destruction requirements.</t>
  </si>
  <si>
    <t>Review classification scheme document; sample assets to verify labelling against the scheme.</t>
  </si>
  <si>
    <t>CISO / Data Governance</t>
  </si>
  <si>
    <t>Data classification policy; Asset classification register</t>
  </si>
  <si>
    <t>Manual review and sign-off by CISO / Data Governance, in line with the defined periodicity (Annual / On change); exceptions/deviations escalated for corrective action.</t>
  </si>
  <si>
    <t>Para 1(l) - IT Risk in ORM</t>
  </si>
  <si>
    <t>Bank-wide/operational risk management policy needs to incorporate IT-related risks, reviewed at least annually by Risk Management Committee</t>
  </si>
  <si>
    <t>Ensure IT risk is managed as part of enterprise risk management</t>
  </si>
  <si>
    <t>Integrate IT risk into the bank-wide operational risk management policy; ensure Risk Management Committee reviews and updates it at least annually.</t>
  </si>
  <si>
    <t>This checkpoint tests whether the organisation has addressed the risk of bank-wide/operational risk management policy needs to incorporate IT-related risks, reviewed at least annually by Risk Management Committee, as required under RBI Circular DBS.CO.ITC.BC.No.6/31.02.008/2010-11 (Gopalakrishna Committee Guidelines) / Clause Para 1(l) - IT Risk in ORM. It is a manual preventive control; the auditor's objective is to independently verify that the stated control has been designed and implemented as described, and is operating effectively to bring the high inherent risk down to an acceptable residual level.</t>
  </si>
  <si>
    <t>Confirm that integrate IT risk into the bank-wide operational risk management policy.</t>
  </si>
  <si>
    <t>Review operational risk policy for IT risk coverage; verify RMC annual review records.</t>
  </si>
  <si>
    <t>Risk Management Committee / CIO</t>
  </si>
  <si>
    <t>Operational risk policy; RMC review minutes</t>
  </si>
  <si>
    <t>Manual review and sign-off by Risk Management Committee / CIO, in line with the defined periodicity (Annual); exceptions/deviations escalated for corrective action.</t>
  </si>
  <si>
    <t>Guidance - Project &amp; Investment Governance</t>
  </si>
  <si>
    <t>Major IT projects must align with business strategy; IT investments require project steering committees, quality assurance and periodic review of non-performing projects</t>
  </si>
  <si>
    <t>Ensure IT investments deliver value and are effectively controlled</t>
  </si>
  <si>
    <t>Implement project governance requiring business-strategy alignment sign-off, project-level steering committees for major projects, quality assurance gates, and periodic review of underperforming IT projects.</t>
  </si>
  <si>
    <t>This checkpoint tests whether the organisation has addressed the risk of major IT projects must align with business strategy; IT investments require project steering committees, quality assurance and periodic review of non-performing projects, as required under RBI Circular DBS.CO.ITC.BC.No.6/31.02.008/2010-11 (Gopalakrishna Committee Guidelines) / Clause Guidance - Project &amp; Investment Governance.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</si>
  <si>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project governance requiring business-strategy alignment sign-off, project-level steering committees for major projects, quality assurance gates, and periodic review of underperforming IT projects.</t>
  </si>
  <si>
    <t>Review project governance records for major initiatives; verify steering committee oversight and periodic project reviews.</t>
  </si>
  <si>
    <t>CIO / PMO</t>
  </si>
  <si>
    <t>Project charter; Steering committee minutes; Project review reports</t>
  </si>
  <si>
    <t>Manual review and sign-off by CIO / PMO, in line with the defined periodicity (Ongoing); exceptions/deviations escalated for corrective action.</t>
  </si>
  <si>
    <t>Guidance - E-banking Risk &amp; Privacy Compliance</t>
  </si>
  <si>
    <t>E-banking risk management must be integrated into overall risk management, with adherence to customer privacy requirements across jurisdictions</t>
  </si>
  <si>
    <t>Ensure e-banking risks and cross-jurisdictional privacy obligations are managed</t>
  </si>
  <si>
    <t>Integrate e-banking risk oversight into enterprise risk management; implement controls to ensure customer privacy compliance across all jurisdictions served.</t>
  </si>
  <si>
    <t>This checkpoint tests whether the organisation has addressed the risk of e-banking risk management must be integrated into overall risk management, with adherence to customer privacy requirements across jurisdictions, as required under RBI Circular DBS.CO.ITC.BC.No.6/31.02.008/2010-11 (Gopalakrishna Committee Guidelines) / Clause Guidance - E-banking Risk &amp; Privacy Compliance. It is a manual preventive control; the auditor's objective is to independently verify that the stated control has been designed and implemented as described, and is operating effectively to bring the high inherent risk down to an acceptable residual level.</t>
  </si>
  <si>
    <t>Confirm that integrate e-banking risk oversight into enterprise risk management.</t>
  </si>
  <si>
    <t>Review e-banking risk assessment reports and jurisdictional privacy compliance documentation.</t>
  </si>
  <si>
    <t>Risk Management / Legal / CIO</t>
  </si>
  <si>
    <t>E-banking risk assessment; Privacy compliance review</t>
  </si>
  <si>
    <t>Manual review and sign-off by Risk Management / Legal / CIO, in line with the defined periodicity (Annual); exceptions/deviations escalated for corrective action.</t>
  </si>
  <si>
    <t>Guidance - IT Governance Maturity</t>
  </si>
  <si>
    <t>Banks may assess IT Governance maturity level, set target maturity and implement action plans to close gaps</t>
  </si>
  <si>
    <t>Drive continuous improvement of IT governance practices</t>
  </si>
  <si>
    <t>Conduct periodic IT Governance maturity assessment (e.g. using COBIT/IT balanced scorecard), set target maturity level, and implement an action plan.</t>
  </si>
  <si>
    <t>This checkpoint tests whether the organisation has addressed the risk of banks may assess IT Governance maturity level, set target maturity and implement action plans to close gaps, as required under RBI Circular DBS.CO.ITC.BC.No.6/31.02.008/2010-11 (Gopalakrishna Committee Guidelines) / Clause Guidance - IT Governance Maturity. It is a manual detective control; the auditor's objective is to independently verify that the stated control has been designed and implemented as described, and is operating effectively to bring the low inherent risk down to an acceptable residual level.</t>
  </si>
  <si>
    <t>Confirm that conduct periodic IT Governance maturity assessment (e.g. using COBIT/IT balanced scorecard), set target maturity level, and implement an action plan.</t>
  </si>
  <si>
    <t>Review maturity assessment results and tracked action plan progress.</t>
  </si>
  <si>
    <t>Maturity assessment report; Action plan</t>
  </si>
  <si>
    <t>Low</t>
  </si>
  <si>
    <t>ISM-019</t>
  </si>
  <si>
    <t>Information Security</t>
  </si>
  <si>
    <t>Chapter 2 - Information Security</t>
  </si>
  <si>
    <t>Guidance - IS Governance Structure</t>
  </si>
  <si>
    <t>Board/Senior Management must establish IS governance including IS Committee and Chief Information Security Officer (CISO) with defined roles</t>
  </si>
  <si>
    <t>Ensure clear ownership and governance of information security</t>
  </si>
  <si>
    <t>Establish an Information Security Committee and appoint a CISO with clearly defined roles/responsibilities, reporting to senior management/Board on security posture.</t>
  </si>
  <si>
    <t>This checkpoint tests whether the organisation has addressed the risk of board/Senior Management must establish IS governance including IS Committee and Chief Information Security Officer (CISO) with defined roles, as required under RBI Circular DBS.CO.ITC.BC.No.6/31.02.008/2010-11 (Gopalakrishna Committee Guidelines) / Clause Guidance - IS Governance Structure.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</si>
  <si>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an Information Security Committee and appoint a CISO with clearly defined roles/responsibilities, reporting to senior management/Board on security posture.</t>
  </si>
  <si>
    <t>Review IS Committee charter and CISO appointment documentation; confirm reporting lines.</t>
  </si>
  <si>
    <t>Board / CISO</t>
  </si>
  <si>
    <t>IS Committee charter; CISO appointment letter; Org chart</t>
  </si>
  <si>
    <t>Manual review and sign-off by Board / CISO, in line with the defined periodicity (One-time / On change); exceptions/deviations escalated for corrective action.</t>
  </si>
  <si>
    <t>Annex A(1) - Information Security Policy</t>
  </si>
  <si>
    <t>A well-documented, Board-approved information security policy must exist, be periodically reviewed and communicated to all users</t>
  </si>
  <si>
    <t>Ensure a formally governed and current information security policy framework</t>
  </si>
  <si>
    <t>Develop a Board-approved Information Security Policy aligned to leading standards (e.g. ISO 27001), review at least annually (or on incident/infra change), and communicate to all employees/relevant users.</t>
  </si>
  <si>
    <t>This checkpoint tests whether the organisation has addressed the risk of a well-documented, Board-approved information security policy must exist, be periodically reviewed and communicated to all users, as required under RBI Circular DBS.CO.ITC.BC.No.6/31.02.008/2010-11 (Gopalakrishna Committee Guidelines) / Clause Annex A(1) - Information Security Policy. It is a manual preventive control; the auditor's objective is to independently verify that the stated control has been designed and implemented as described, and is operating effectively to bring the high inherent risk down to an acceptable residual level.</t>
  </si>
  <si>
    <t>Confirm that develop a Board-approved Information Security Policy aligned to leading standards (e.g. ISO 27001), review at least annually (or on incident/infra change), and communicate to all employees/relevant users.</t>
  </si>
  <si>
    <t>Review IS policy version history, Board approval dates, review frequency and evidence of communication to staff.</t>
  </si>
  <si>
    <t>IS Policy document; Board approval record; Communication logs</t>
  </si>
  <si>
    <t>Manual review and sign-off by CISO / DPO, in line with the defined periodicity (Annual / On change); exceptions/deviations escalated for corrective action.</t>
  </si>
  <si>
    <t>Annex A(2) - Asset Classification &amp; Control</t>
  </si>
  <si>
    <t>All information assets should be identified, inventoried, owned, classified and labelled, including datacentre/DR assets</t>
  </si>
  <si>
    <t>Ensure all information assets are identified and appropriately protected</t>
  </si>
  <si>
    <t>Maintain a comprehensive information asset inventory (including datacentre/DR assets) with designated owners, classification levels and periodic update process.</t>
  </si>
  <si>
    <t>This checkpoint tests whether the organisation has addressed the risk of all information assets should be identified, inventoried, owned, classified and labelled, including datacentre/DR assets, as required under RBI Circular DBS.CO.ITC.BC.No.6/31.02.008/2010-11 (Gopalakrishna Committee Guidelines) / Clause Annex A(2) - Asset Classification &amp; Control. It is a semi-auto preventive control; the auditor's objective is to independently verify that the stated control has been designed and implemented as described, and is operating effectively to bring the high inherent risk down to an acceptable residual level.</t>
  </si>
  <si>
    <t>Confirm that maintain a comprehensive information asset inventory (including datacentre/DR assets) with designated owners, classification levels and periodic update process.</t>
  </si>
  <si>
    <t>Sample the asset inventory; verify ownership, classification labelling and update process.</t>
  </si>
  <si>
    <t>IT Asset Management / CISO</t>
  </si>
  <si>
    <t>Asset inventory register; Classification records</t>
  </si>
  <si>
    <t>System-generated reports reviewed periodically alongside manual verification by IT Asset Management / CISO, in line with the defined periodicity (Ongoing); deviations reported for corrective action.</t>
  </si>
  <si>
    <t>Annex A(3) - Human Resource Security</t>
  </si>
  <si>
    <t>Security roles/responsibilities must be communicated to employees; background verification and confidentiality clauses required</t>
  </si>
  <si>
    <t>Ensure personnel security risks are managed throughout the employment lifecycle</t>
  </si>
  <si>
    <t>Implement background verification checks in recruitment, include confidentiality/non-disclosure clauses in employment contracts, and conduct induction plus periodic IS awareness training.</t>
  </si>
  <si>
    <t>This checkpoint tests whether the organisation has addressed the risk of security roles/responsibilities must be communicated to employees; background verification and confidentiality clauses required, as required under RBI Circular DBS.CO.ITC.BC.No.6/31.02.008/2010-11 (Gopalakrishna Committee Guidelines) / Clause Annex A(3) - Human Resource Security.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</si>
  <si>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background verification checks in recruitment, include confidentiality/non-disclosure clauses in employment contracts, and conduct induction plus periodic IS awareness training.</t>
  </si>
  <si>
    <t>Sample employee files for background verification, signed confidentiality clauses and training completion.</t>
  </si>
  <si>
    <t>Annual / On onboarding</t>
  </si>
  <si>
    <t>Background check records; Employment contracts; Training records</t>
  </si>
  <si>
    <t>Manual review and sign-off by HR / CISO, in line with the defined periodicity (Annual / On onboarding); exceptions/deviations escalated for corrective action.</t>
  </si>
  <si>
    <t>Annex A(4) - Third Party/Vendor Security</t>
  </si>
  <si>
    <t>Third-party contracts should mandate background verification, confidentiality, adherence to security policy, and periodic access reviews</t>
  </si>
  <si>
    <t>Ensure third-party access does not introduce unmanaged security risk</t>
  </si>
  <si>
    <t>Ensure vendor/third-party contracts include security policy adherence, confidentiality clauses, background verification requirements; conduct due diligence, onsite security audits and periodic access reviews.</t>
  </si>
  <si>
    <t>This checkpoint tests whether the organisation has addressed the risk of third-party contracts should mandate background verification, confidentiality, adherence to security policy, and periodic access reviews, as required under RBI Circular DBS.CO.ITC.BC.No.6/31.02.008/2010-11 (Gopalakrishna Committee Guidelines) / Clause Annex A(4) - Third Party/Vendor Security. It is a manual preventive control; the auditor's objective is to independently verify that the stated control has been designed and implemented as described, and is operating effectively to bring the high inherent risk down to an acceptable residual level.</t>
  </si>
  <si>
    <t>Confirm that ensure vendor/third-party contracts include security policy adherence, confidentiality clauses, background verification requirements.</t>
  </si>
  <si>
    <t>Review sample vendor contracts for required clauses; verify due diligence and periodic access review evidence.</t>
  </si>
  <si>
    <t>Procurement / CISO / Legal</t>
  </si>
  <si>
    <t>Vendor contracts; Due diligence reports; Access review logs</t>
  </si>
  <si>
    <t>Manual review and sign-off by Procurement / CISO / Legal, in line with the defined periodicity (Annual); exceptions/deviations escalated for corrective action.</t>
  </si>
  <si>
    <t>Annex A(5) - Physical &amp; Environmental Security</t>
  </si>
  <si>
    <t>Access to information processing facilities must be restricted, monitored, and protected against environmental hazards</t>
  </si>
  <si>
    <t>Protect information processing facilities from physical and environmental threats</t>
  </si>
  <si>
    <t>Implement physical access controls (card/biometric/manned reception), environmental protections (fire, power, UPS/generator), equipment maintenance schedules, and secure disposal procedures.</t>
  </si>
  <si>
    <t>This checkpoint tests whether the organisation has addressed the risk of access to information processing facilities must be restricted, monitored, and protected against environmental hazards, as required under RBI Circular DBS.CO.ITC.BC.No.6/31.02.008/2010-11 (Gopalakrishna Committee Guidelines) / Clause Annex A(5) - Physical &amp; Environmental Security.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</si>
  <si>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physical access controls (card/biometric/manned reception), environmental protections (fire, power, UPS/generator), equipment maintenance schedules, and secure disposal procedures.</t>
  </si>
  <si>
    <t>Inspect physical access controls at data centre; review fire drill, maintenance and disposal records.</t>
  </si>
  <si>
    <t>Facilities / CISO / Datacentre Head</t>
  </si>
  <si>
    <t>Access logs; Fire drill records; Equipment maintenance logs; Disposal records</t>
  </si>
  <si>
    <t>System-generated reports reviewed periodically alongside manual verification by Facilities / CISO / Datacentre Head, in line with the defined periodicity (Ongoing); deviations reported for corrective action.</t>
  </si>
  <si>
    <t>Annex A(6) - Information Security Incident Management</t>
  </si>
  <si>
    <t>A documented incident management process with escalation matrix and forensic capability must exist</t>
  </si>
  <si>
    <t>Ensure timely detection, escalation and resolution of security incidents</t>
  </si>
  <si>
    <t>Implement an Information Security Incident Management process with defined escalation matrix, law-enforcement contacts, monitoring/forensic tools, and CISO periodic review of incidents.</t>
  </si>
  <si>
    <t>This checkpoint tests whether the organisation has addressed the risk of a documented incident management process with escalation matrix and forensic capability must exist, as required under RBI Circular DBS.CO.ITC.BC.No.6/31.02.008/2010-11 (Gopalakrishna Committee Guidelines) / Clause Annex A(6) - Information Security Incident Management. It is a semi-auto corrective control; the auditor's objective is to independently verify that the stated control has been designed and implemented as described, and is operating effectively to bring the high inherent risk down to an acceptable residual level.</t>
  </si>
  <si>
    <t>Confirm that implement an Information Security Incident Management process with defined escalation matrix, law-enforcement contacts, monitoring/forensic tools, and CISO periodic review of incidents.</t>
  </si>
  <si>
    <t>Review incident log for timeliness of escalation and closure; verify CISO periodic review evidence.</t>
  </si>
  <si>
    <t>CISO / IT Security Operations</t>
  </si>
  <si>
    <t>Incident management policy; Incident log; Escalation matrix</t>
  </si>
  <si>
    <t>System-generated reports reviewed periodically alongside manual verification by CISO / IT Security Operations, in line with the defined periodicity (Ongoing); deviations reported for corrective action.</t>
  </si>
  <si>
    <t>Annex A(7) - Communications &amp; Operations Management</t>
  </si>
  <si>
    <t>Documented change management, operating procedures, segregation of duties and audit logging must be enforced</t>
  </si>
  <si>
    <t>Ensure operational changes are controlled and do not compromise security</t>
  </si>
  <si>
    <t>Implement documented change management with request forms, business approval, testing, segregation of development/test/production environments, and audit logging of changes.</t>
  </si>
  <si>
    <t>This checkpoint tests whether the organisation has addressed the risk of documented change management, operating procedures, segregation of duties and audit logging must be enforced, as required under RBI Circular DBS.CO.ITC.BC.No.6/31.02.008/2010-11 (Gopalakrishna Committee Guidelines) / Clause Annex A(7) - Communications &amp; Operations Management.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</si>
  <si>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documented change management with request forms, business approval, testing, segregation of development/test/production environments, and audit logging of changes.</t>
  </si>
  <si>
    <t>Sample change requests for documented approval, testing evidence and segregation of duties compliance.</t>
  </si>
  <si>
    <t>IT Operations / CISO</t>
  </si>
  <si>
    <t>Change request records; Segregation of duties matrix; Audit logs</t>
  </si>
  <si>
    <t>System-generated reports reviewed periodically alongside manual verification by IT Operations / CISO, in line with the defined periodicity (Ongoing); deviations reported for corrective action.</t>
  </si>
  <si>
    <t>Annex A(8) - Access Control</t>
  </si>
  <si>
    <t>User access provisioning, review and privileged access management must be governed by formal access control procedures</t>
  </si>
  <si>
    <t>Prevent unauthorised access to information systems</t>
  </si>
  <si>
    <t>Implement formal access request/approval workflow, periodic access recertification, and enhanced controls over privileged/administrator accounts.</t>
  </si>
  <si>
    <t>This checkpoint tests whether the organisation has addressed the risk of user access provisioning, review and privileged access management must be governed by formal access control procedures, as required under RBI Circular DBS.CO.ITC.BC.No.6/31.02.008/2010-11 (Gopalakrishna Committee Guidelines) / Clause Annex A(8) - Access Control. It is a auto preventive control; the auditor's objective is to independently verify that the stated control has been designed and implemented as described, and is operating effectively to bring the high inherent risk down to an acceptable residual level.</t>
  </si>
  <si>
    <t>Confirm that implement formal access request/approval workflow, periodic access recertification, and enhanced controls over privileged/administrator accounts.</t>
  </si>
  <si>
    <t>Sample access provisioning records and recertification cycles; review privileged access monitoring logs.</t>
  </si>
  <si>
    <t>IT Security / System Owners</t>
  </si>
  <si>
    <t>Access request logs; Access recertification records; Privileged access logs</t>
  </si>
  <si>
    <t>System-generated alerts and reports are monitored by IT Security / System Owners, in line with the defined periodicity (Quarterly); exceptions are escalated for corrective action.</t>
  </si>
  <si>
    <t>Annex A(9) - Systems Acquisition, Development &amp; Maintenance</t>
  </si>
  <si>
    <t>Security must be built into the system development lifecycle including risk assessment, secure coding and testing prior to deployment</t>
  </si>
  <si>
    <t>Ensure security is embedded in system development and maintenance</t>
  </si>
  <si>
    <t>Embed security requirements into SDLC: risk assessment for new applications, secure coding standards, security testing (e.g. vulnerability/penetration testing) prior to go-live, and change control post-deployment.</t>
  </si>
  <si>
    <t>This checkpoint tests whether the organisation has addressed the risk of security must be built into the system development lifecycle including risk assessment, secure coding and testing prior to deployment, as required under RBI Circular DBS.CO.ITC.BC.No.6/31.02.008/2010-11 (Gopalakrishna Committee Guidelines) / Clause Annex A(9) - Systems Acquisition, Development &amp; Maintenance. It is a semi-auto preventive control; the auditor's objective is to independently verify that the stated control has been designed and implemented as described, and is operating effectively to bring the high inherent risk down to an acceptable residual level.</t>
  </si>
  <si>
    <t>Confirm that embed security requirements into SDLC: risk assessment for new applications, secure coding standards, security testing (e.g. vulnerability/penetration testing) prior to go-live, and change control post-deployment.</t>
  </si>
  <si>
    <t>Review SDLC documentation and security testing evidence for a sample of recent application releases.</t>
  </si>
  <si>
    <t>Development / CISO</t>
  </si>
  <si>
    <t>Ongoing / Per project</t>
  </si>
  <si>
    <t>SDLC security checklist; Test/VA-PT reports; Sign-off records</t>
  </si>
  <si>
    <t>System-generated reports reviewed periodically alongside manual verification by Development / CISO, in line with the defined periodicity (Ongoing / Per project); deviations reported for corrective action.</t>
  </si>
  <si>
    <t>Annex A(10) - Compliance</t>
  </si>
  <si>
    <t>Information security practices should comply with applicable legal, regulatory and internal policy requirements, verified through independent audit</t>
  </si>
  <si>
    <t>Ensure ongoing compliance with regulatory and legal information security requirements</t>
  </si>
  <si>
    <t>Establish a compliance monitoring process mapping IS controls to legal/regulatory/RBI requirements, with independent internal and external audits at defined frequency.</t>
  </si>
  <si>
    <t>This checkpoint tests whether the organisation has addressed the risk of information security practices should comply with applicable legal, regulatory and internal policy requirements, verified through independent audit, as required under RBI Circular DBS.CO.ITC.BC.No.6/31.02.008/2010-11 (Gopalakrishna Committee Guidelines) / Clause Annex A(10) - Compliance. It is a manual detective control; the auditor's objective is to independently verify that the stated control has been designed and implemented as described, and is operating effectively to bring the high inherent risk down to an acceptable residual level.</t>
  </si>
  <si>
    <t>Confirm that establish a compliance monitoring process mapping IS controls to legal/regulatory/RBI requirements, with independent internal and external audits at defined frequency.</t>
  </si>
  <si>
    <t>Review compliance mapping register and audit reports; verify frequency of internal and external audits.</t>
  </si>
  <si>
    <t>CISO / Compliance / Audit</t>
  </si>
  <si>
    <t>Quarterly / Half-yearly / Annual</t>
  </si>
  <si>
    <t>Compliance mapping register; Internal/external audit reports</t>
  </si>
  <si>
    <t>Manual review and sign-off by CISO / Compliance / Audit, in line with the defined periodicity (Quarterly / Half-yearly / Annual); exceptions/deviations escalated for corrective action.</t>
  </si>
  <si>
    <t>Guidance - Network Perimeter Security (Firewalls)</t>
  </si>
  <si>
    <t>Appropriate firewall types and a documented firewall policy must be implemented and hardened</t>
  </si>
  <si>
    <t>Prevent unauthorised network access to bank systems</t>
  </si>
  <si>
    <t>Deploy appropriate firewall technology (packet filter/stateful/proxy/application-level as applicable) with a documented, Board/CISO-approved firewall policy; harden configuration and restrict administrative access.</t>
  </si>
  <si>
    <t>This checkpoint tests whether the organisation has addressed the risk of appropriate firewall types and a documented firewall policy must be implemented and hardened, as required under RBI Circular DBS.CO.ITC.BC.No.6/31.02.008/2010-11 (Gopalakrishna Committee Guidelines) / Clause Guidance - Network Perimeter Security (Firewalls). It is a auto preventive control; the auditor's objective is to independently verify that the stated control has been designed and implemented as described, and is operating effectively to bring the high inherent risk down to an acceptable residual level.</t>
  </si>
  <si>
    <t>Confirm that deploy appropriate firewall technology (packet filter/stateful/proxy/application-level as applicable) with a documented, Board/CISO-approved firewall policy.</t>
  </si>
  <si>
    <t>Review firewall policy and configuration against hardening checklist; verify change control for firewall rule changes.</t>
  </si>
  <si>
    <t>Network Security Team</t>
  </si>
  <si>
    <t>Firewall policy; Firewall configuration review report</t>
  </si>
  <si>
    <t>System-generated alerts and reports are monitored by Network Security Team, in line with the defined periodicity (Ongoing); exceptions are escalated for corrective action.</t>
  </si>
  <si>
    <t>Guidance - Internet Banking Authentication</t>
  </si>
  <si>
    <t>Internet banking should employ risk-based, layered authentication including confirmatory second-channel authentication for high-risk transactions</t>
  </si>
  <si>
    <t>Ensure strong authentication for electronic banking transactions</t>
  </si>
  <si>
    <t>Implement layered/multi-factor authentication for internet banking, including second-channel confirmation (e.g. OTP/SMS) for online transactions beyond defined risk thresholds.</t>
  </si>
  <si>
    <t>This checkpoint tests whether the organisation has addressed the risk of internet banking should employ risk-based, layered authentication including confirmatory second-channel authentication for high-risk transactions, as required under RBI Circular DBS.CO.ITC.BC.No.6/31.02.008/2010-11 (Gopalakrishna Committee Guidelines) / Clause Guidance - Internet Banking Authentication. It is a auto preventive control; the auditor's objective is to independently verify that the stated control has been designed and implemented as described, and is operating effectively to bring the high inherent risk down to an acceptable residual level.</t>
  </si>
  <si>
    <t>Confirm that implement layered/multi-factor authentication for internet banking, including second-channel confirmation (e.g. OTP/SMS) for online transactions beyond defined risk thresholds.</t>
  </si>
  <si>
    <t>Test the authentication flow end-to-end; verify second-channel confirmation triggers for high-risk transactions.</t>
  </si>
  <si>
    <t>Digital Banking / CISO</t>
  </si>
  <si>
    <t>Authentication design document; Transaction risk thresholds</t>
  </si>
  <si>
    <t>System-generated alerts and reports are monitored by Digital Banking / CISO, in line with the defined periodicity (Ongoing); exceptions are escalated for corrective action.</t>
  </si>
  <si>
    <t>Guidance - Digital Signature/Cryptography for High-Value Transactions</t>
  </si>
  <si>
    <t>Legal risk exists in not using asymmetric cryptosystem and hash function for authenticating electronic records/high-value payments</t>
  </si>
  <si>
    <t>Mitigate legal risk associated with authentication of electronic records</t>
  </si>
  <si>
    <t>Assess use of digital signatures (asymmetric cryptosystem and hash function) for authenticating high-value electronic transactions/records as legally required.</t>
  </si>
  <si>
    <t>This checkpoint tests whether the organisation has addressed the risk of legal risk exists in not using asymmetric cryptosystem and hash function for authenticating electronic records/high-value payments, as required under RBI Circular DBS.CO.ITC.BC.No.6/31.02.008/2010-11 (Gopalakrishna Committee Guidelines) / Clause Guidance - Digital Signature/Cryptography for High-Value Transactions. It is a manual preventive control; the auditor's objective is to independently verify that the stated control has been designed and implemented as described, and is operating effectively to bring the high inherent risk down to an acceptable residual level.</t>
  </si>
  <si>
    <t>Confirm that assess use of digital signatures (asymmetric cryptosystem and hash function) for authenticating high-value electronic transactions/records as legally required.</t>
  </si>
  <si>
    <t>Review assessment of applicability and use of digital signature/cryptography for relevant transaction types.</t>
  </si>
  <si>
    <t>Cryptography usage assessment; Legal opinion</t>
  </si>
  <si>
    <t>Guidance - Malware Controls</t>
  </si>
  <si>
    <t>Anti-malware controls should be implemented at host, network and user awareness levels</t>
  </si>
  <si>
    <t>Prevent and detect malware infections across the bank's environment</t>
  </si>
  <si>
    <t>Deploy anti-malware/endpoint protection at host level, network-level controls (e.g. IDS/IPS monitoring for anomalous traffic), and conduct user awareness training on malicious code risks.</t>
  </si>
  <si>
    <t>This checkpoint tests whether the organisation has addressed the risk of anti-malware controls should be implemented at host, network and user awareness levels, as required under RBI Circular DBS.CO.ITC.BC.No.6/31.02.008/2010-11 (Gopalakrishna Committee Guidelines) / Clause Guidance - Malware Controls. It is a auto preventive control; the auditor's objective is to independently verify that the stated control has been designed and implemented as described, and is operating effectively to bring the high inherent risk down to an acceptable residual level.</t>
  </si>
  <si>
    <t>Confirm that deploy anti-malware/endpoint protection at host level, network-level controls (e.g. IDS/IPS monitoring for anomalous traffic), and conduct user awareness training on malicious code risks.</t>
  </si>
  <si>
    <t>Verify antivirus/EDR coverage across endpoints and servers; review IDS/IPS alert monitoring logs.</t>
  </si>
  <si>
    <t>IT Security Operations</t>
  </si>
  <si>
    <t>Antivirus deployment report; IDS/IPS monitoring logs; Training records</t>
  </si>
  <si>
    <t>System-generated alerts and reports are monitored by IT Security Operations, in line with the defined periodicity (Ongoing); exceptions are escalated for corrective action.</t>
  </si>
  <si>
    <t>Guidance - Security MIS to Management</t>
  </si>
  <si>
    <t>Periodic security MIS covering incidents, audit findings, vulnerability assessments and costs should be reported to management</t>
  </si>
  <si>
    <t>Ensure management has visibility into the organisation's security posture</t>
  </si>
  <si>
    <t>Develop periodic security MIS/dashboard covering incidents, audit/VAPT findings, patch status, financial impact of losses, and progress against the security plan; report to IS Committee/Board.</t>
  </si>
  <si>
    <t>This checkpoint tests whether the organisation has addressed the risk of periodic security MIS covering incidents, audit findings, vulnerability assessments and costs should be reported to management, as required under RBI Circular DBS.CO.ITC.BC.No.6/31.02.008/2010-11 (Gopalakrishna Committee Guidelines) / Clause Guidance - Security MIS to Management. It is a manual detective control; the auditor's objective is to independently verify that the stated control has been designed and implemented as described, and is operating effectively to bring the medium inherent risk down to an acceptable residual level.</t>
  </si>
  <si>
    <t>Confirm that develop periodic security MIS/dashboard covering incidents, audit/VAPT findings, patch status, financial impact of losses, and progress against the security plan.</t>
  </si>
  <si>
    <t>Review periodic security MIS reports and evidence of presentation to IS Committee/Board.</t>
  </si>
  <si>
    <t>Security MIS report; IS Committee minutes</t>
  </si>
  <si>
    <t>Manual review and sign-off by CISO, in line with the defined periodicity (Quarterly); exceptions/deviations escalated for corrective action.</t>
  </si>
  <si>
    <t>Guidance - Virtualization Security</t>
  </si>
  <si>
    <t>Where virtualization is used, host OS access must be separately controlled and guest OS risks addressed</t>
  </si>
  <si>
    <t>Manage security risks specific to the virtualized environment</t>
  </si>
  <si>
    <t>Implement controls addressing virtualization-specific risks: separate credentials for host and guest OS access, hypervisor hardening, and periodic review of virtual machine sprawl.</t>
  </si>
  <si>
    <t>This checkpoint tests whether the organisation has addressed the risk of where virtualization is used, host OS access must be separately controlled and guest OS risks addressed, as required under RBI Circular DBS.CO.ITC.BC.No.6/31.02.008/2010-11 (Gopalakrishna Committee Guidelines) / Clause Guidance - Virtualization Security. It is a manual preventive control; the auditor's objective is to independently verify that the stated control has been designed and implemented as described, and is operating effectively to bring the medium inherent risk down to an acceptable residual level.</t>
  </si>
  <si>
    <t>Confirm that implement controls addressing virtualization-specific risks: separate credentials for host and guest OS access, hypervisor hardening, and periodic review of virtual machine sprawl.</t>
  </si>
  <si>
    <t>Review hypervisor/host access controls and configuration hardening evidence.</t>
  </si>
  <si>
    <t>IT Infrastructure / CISO</t>
  </si>
  <si>
    <t>Virtualization security configuration review</t>
  </si>
  <si>
    <t>Manual review and sign-off by IT Infrastructure / CISO, in line with the defined periodicity (Annual); exceptions/deviations escalated for corrective action.</t>
  </si>
  <si>
    <t>Guidance - Cloud Computing Risk Assessment</t>
  </si>
  <si>
    <t>Banks using cloud computing must assess associated concerns before adoption</t>
  </si>
  <si>
    <t>Ensure cloud adoption risks are identified and mitigated before deployment</t>
  </si>
  <si>
    <t>Conduct a formal risk assessment (data location, multi-tenancy, exit strategy, regulatory compliance) prior to adopting cloud computing services.</t>
  </si>
  <si>
    <t>This checkpoint tests whether the organisation has addressed the risk of banks using cloud computing must assess associated concerns before adoption, as required under RBI Circular DBS.CO.ITC.BC.No.6/31.02.008/2010-11 (Gopalakrishna Committee Guidelines) / Clause Guidance - Cloud Computing Risk Assessment. It is a manual preventive control; the auditor's objective is to independently verify that the stated control has been designed and implemented as described, and is operating effectively to bring the high inherent risk down to an acceptable residual level.</t>
  </si>
  <si>
    <t>Confirm that conduct a formal risk assessment (data location, multi-tenancy, exit strategy, regulatory compliance) prior to adopting cloud computing services.</t>
  </si>
  <si>
    <t>Review cloud risk assessment documentation for any cloud-hosted workloads.</t>
  </si>
  <si>
    <t>CISO / Risk Management</t>
  </si>
  <si>
    <t>One-time / Per engagement</t>
  </si>
  <si>
    <t>Cloud risk assessment report</t>
  </si>
  <si>
    <t>Manual review and sign-off by CISO / Risk Management, in line with the defined periodicity (One-time / Per engagement); exceptions/deviations escalated for corrective action.</t>
  </si>
  <si>
    <t>ITO-008</t>
  </si>
  <si>
    <t>IT Operations</t>
  </si>
  <si>
    <t>Chapter 3 - IT Operations</t>
  </si>
  <si>
    <t>Guidance - Board/Senior Management Oversight</t>
  </si>
  <si>
    <t>Board has ultimate oversight of IT operations; senior management must ensure a safe IT operations environment and risk tolerance-based policies</t>
  </si>
  <si>
    <t>Ensure Board-level accountability for IT operations risk</t>
  </si>
  <si>
    <t>Establish Board/senior management oversight mechanism for IT operations, including risk tolerance-based policies covering core, business-line, affiliate and vendor-supported IT operations.</t>
  </si>
  <si>
    <t>This checkpoint tests whether the organisation has addressed the risk of board has ultimate oversight of IT operations; senior management must ensure a safe IT operations environment and risk tolerance-based policies, as required under RBI Circular DBS.CO.ITC.BC.No.6/31.02.008/2010-11 (Gopalakrishna Committee Guidelines) / Clause Guidance - Board/Senior Management Oversight.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</si>
  <si>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Board/senior management oversight mechanism for IT operations, including risk tolerance-based policies covering core, business-line, affiliate and vendor-supported IT operations.</t>
  </si>
  <si>
    <t>Review IT Operations policy and Board minutes for oversight evidence.</t>
  </si>
  <si>
    <t>IT Operations policy; Board oversight minutes</t>
  </si>
  <si>
    <t>Guidance - Service Desk (Single Point of Contact)</t>
  </si>
  <si>
    <t>A Service Desk function should be the primary point of contact for incident, problem and change requests</t>
  </si>
  <si>
    <t>Ensure timely and consistent handling of IT service requests and incidents</t>
  </si>
  <si>
    <t>Establish a Service Desk (local/central/virtual as appropriate) as SPOC for incidents, problems and requests, with defined SLAs, escalation and user satisfaction monitoring.</t>
  </si>
  <si>
    <t>This checkpoint tests whether the organisation has addressed the risk of a Service Desk function should be the primary point of contact for incident, problem and change requests, as required under RBI Circular DBS.CO.ITC.BC.No.6/31.02.008/2010-11 (Gopalakrishna Committee Guidelines) / Clause Guidance - Service Desk (Single Point of Contact). It is a semi-auto preventive control; the auditor's objective is to independently verify that the stated control has been designed and implemented as described, and is operating effectively to bring the medium inherent risk down to an acceptable residual level.</t>
  </si>
  <si>
    <t>Confirm that establish a Service Desk (local/central/virtual as appropriate) as SPOC for incidents, problems and requests, with defined SLAs, escalation and user satisfaction monitoring.</t>
  </si>
  <si>
    <t>Sample service desk tickets; verify SLA adherence and escalation procedures.</t>
  </si>
  <si>
    <t>Service Desk SOP; Ticket/incident logs; SLA reports</t>
  </si>
  <si>
    <t>System-generated reports reviewed periodically alongside manual verification by IT Operations, in line with the defined periodicity (Ongoing); deviations reported for corrective action.</t>
  </si>
  <si>
    <t>Guidance - IT Operations Risk Management</t>
  </si>
  <si>
    <t>Banks should conduct periodic risk assessment of IT operations, categorising strategic, design and transition failure risks</t>
  </si>
  <si>
    <t>Identify and prioritise IT operations risk mitigation actions</t>
  </si>
  <si>
    <t>Conduct periodic IT operations risk assessment identifying strategic, design and transition failure risks; document probability, financial, reputational, regulatory and legal impact for prioritisation.</t>
  </si>
  <si>
    <t>This checkpoint tests whether the organisation has addressed the risk of banks should conduct periodic risk assessment of IT operations, categorising strategic, design and transition failure risks, as required under RBI Circular DBS.CO.ITC.BC.No.6/31.02.008/2010-11 (Gopalakrishna Committee Guidelines) / Clause Guidance - IT Operations Risk Management. It is a manual preventive control; the auditor's objective is to independently verify that the stated control has been designed and implemented as described, and is operating effectively to bring the high inherent risk down to an acceptable residual level.</t>
  </si>
  <si>
    <t>Confirm that conduct periodic IT operations risk assessment identifying strategic, design and transition failure risks.</t>
  </si>
  <si>
    <t>Review IT operations risk register for completeness of categorisation and mitigation prioritisation.</t>
  </si>
  <si>
    <t>IT Operations / Risk Management</t>
  </si>
  <si>
    <t>IT Operations risk register</t>
  </si>
  <si>
    <t>Manual review and sign-off by IT Operations / Risk Management, in line with the defined periodicity (Annual); exceptions/deviations escalated for corrective action.</t>
  </si>
  <si>
    <t>Guidance - IT Financial Management</t>
  </si>
  <si>
    <t>IT financial management processes should quantify the value/cost of IT services supported by operations</t>
  </si>
  <si>
    <t>Ensure IT investment decisions are informed by cost/value data</t>
  </si>
  <si>
    <t>Implement IT financial management processes to track cost of IT service provisioning and support investment decision-making.</t>
  </si>
  <si>
    <t>This checkpoint tests whether the organisation has addressed the risk of iT financial management processes should quantify the value/cost of IT services supported by operations, as required under RBI Circular DBS.CO.ITC.BC.No.6/31.02.008/2010-11 (Gopalakrishna Committee Guidelines) / Clause Guidance - IT Financial Management. It is a manual detective control; the auditor's objective is to independently verify that the stated control has been designed and implemented as described, and is operating effectively to bring the low inherent risk down to an acceptable residual level.</t>
  </si>
  <si>
    <t>Confirm that implement IT financial management processes to track cost of IT service provisioning and support investment decision-making.</t>
  </si>
  <si>
    <t>Review IT cost allocation reports and their use in budget/investment decisions.</t>
  </si>
  <si>
    <t>IT Finance / CIO</t>
  </si>
  <si>
    <t>IT cost allocation report</t>
  </si>
  <si>
    <t>Manual review and sign-off by IT Finance / CIO, in line with the defined periodicity (Annual); exceptions/deviations escalated for corrective action.</t>
  </si>
  <si>
    <t>Guidance - Service Catalogue Management</t>
  </si>
  <si>
    <t>An IT service catalogue should be defined, produced and maintained, listing service attributes (criticality, DR class, SLAs, ownership etc.)</t>
  </si>
  <si>
    <t>Provide consistent and accurate information on all IT services</t>
  </si>
  <si>
    <t>Define, produce and maintain an IT Service Catalogue capturing service definition, criticality, DR class, SLA parameters, environment, ownership and interdependencies; restrict access to approved users.</t>
  </si>
  <si>
    <t>This checkpoint tests whether the organisation has addressed the risk of an IT service catalogue should be defined, produced and maintained, listing service attributes (criticality, DR class, SLAs, ownership etc.), as required under RBI Circular DBS.CO.ITC.BC.No.6/31.02.008/2010-11 (Gopalakrishna Committee Guidelines) / Clause Guidance - Service Catalogue Management. It is a manual preventive control; the auditor's objective is to independently verify that the stated control has been designed and implemented as described, and is operating effectively to bring the medium inherent risk down to an acceptable residual level.</t>
  </si>
  <si>
    <t>Confirm that define, produce and maintain an IT Service Catalogue capturing service definition, criticality, DR class, SLA parameters, environment, ownership and interdependencies.</t>
  </si>
  <si>
    <t>Review service catalogue for completeness of required attributes and update currency.</t>
  </si>
  <si>
    <t>IT Service Catalogue document</t>
  </si>
  <si>
    <t>Manual review and sign-off by IT Operations, in line with the defined periodicity (Annual / On change); exceptions/deviations escalated for corrective action.</t>
  </si>
  <si>
    <t>Guidance - Service Level Management</t>
  </si>
  <si>
    <t>Service Level Agreements (SLAs) and underlying Operating Level Agreements (OLAs) must be defined for all IT services</t>
  </si>
  <si>
    <t>Ensure IT service delivery meets agreed business requirements</t>
  </si>
  <si>
    <t>Define and monitor SLAs/OLAs for all IT services with measurable performance parameters; review breaches and corrective actions periodically.</t>
  </si>
  <si>
    <t>This checkpoint tests whether the organisation has addressed the risk of service Level Agreements (SLAs) and underlying Operating Level Agreements (OLAs) must be defined for all IT services, as required under RBI Circular DBS.CO.ITC.BC.No.6/31.02.008/2010-11 (Gopalakrishna Committee Guidelines) / Clause Guidance - Service Level Management. It is a semi-auto detective control; the auditor's objective is to independently verify that the stated control has been designed and implemented as described, and is operating effectively to bring the high inherent risk down to an acceptable residual level.</t>
  </si>
  <si>
    <t>Confirm that define and monitor SLAs/OLAs for all IT services with measurable performance parameters.</t>
  </si>
  <si>
    <t>Sample SLA performance reports; verify breach identification and remediation tracking.</t>
  </si>
  <si>
    <t>IT Operations / Business Units</t>
  </si>
  <si>
    <t>SLA/OLA documents; SLA performance reports</t>
  </si>
  <si>
    <t>System-generated reports reviewed periodically alongside manual verification by IT Operations / Business Units, in line with the defined periodicity (Quarterly); deviations reported for corrective action.</t>
  </si>
  <si>
    <t>Guidance - Capacity Management</t>
  </si>
  <si>
    <t>Capacity Management process should provide guidance on ensuring adequate IT resource capacity to meet current and future business demand</t>
  </si>
  <si>
    <t>Ensure IT infrastructure capacity meets business needs without over/under-provisioning</t>
  </si>
  <si>
    <t>Implement capacity management process, including forecasting and monitoring of infrastructure/application capacity against business demand growth.</t>
  </si>
  <si>
    <t>This checkpoint tests whether the organisation has addressed the risk of capacity Management process should provide guidance on ensuring adequate IT resource capacity to meet current and future business demand, as required under RBI Circular DBS.CO.ITC.BC.No.6/31.02.008/2010-11 (Gopalakrishna Committee Guidelines) / Clause Guidance - Capacity Management. It is a semi-auto preventive control; the auditor's objective is to independently verify that the stated control has been designed and implemented as described, and is operating effectively to bring the medium inherent risk down to an acceptable residual level.</t>
  </si>
  <si>
    <t>Confirm that implement capacity management process, including forecasting and monitoring of infrastructure/application capacity against business demand growth.</t>
  </si>
  <si>
    <t>Review capacity planning reports and utilisation trends against thresholds.</t>
  </si>
  <si>
    <t>Capacity planning report; Utilisation monitoring dashboard</t>
  </si>
  <si>
    <t>System-generated reports reviewed periodically alongside manual verification by IT Infrastructure, in line with the defined periodicity (Quarterly); deviations reported for corrective action.</t>
  </si>
  <si>
    <t>Guidance - Availability Management</t>
  </si>
  <si>
    <t>Availability management process must have key elements ensuring IT services meet agreed availability targets</t>
  </si>
  <si>
    <t>Ensure IT services meet agreed availability commitments</t>
  </si>
  <si>
    <t>Implement availability management with defined availability targets, monitoring of downtime/outages, and root-cause driven improvement actions.</t>
  </si>
  <si>
    <t>This checkpoint tests whether the organisation has addressed the risk of availability management process must have key elements ensuring IT services meet agreed availability targets, as required under RBI Circular DBS.CO.ITC.BC.No.6/31.02.008/2010-11 (Gopalakrishna Committee Guidelines) / Clause Guidance - Availability Management. It is a auto detective control; the auditor's objective is to independently verify that the stated control has been designed and implemented as described, and is operating effectively to bring the high inherent risk down to an acceptable residual level.</t>
  </si>
  <si>
    <t>Confirm that implement availability management with defined availability targets, monitoring of downtime/outages, and root-cause driven improvement actions.</t>
  </si>
  <si>
    <t>Review availability/uptime reports against SLA targets; sample outage RCAs.</t>
  </si>
  <si>
    <t>Availability/uptime reports; Outage RCA reports</t>
  </si>
  <si>
    <t>System-generated alerts and reports are monitored by IT Operations, in line with the defined periodicity (Ongoing); exceptions are escalated for corrective action.</t>
  </si>
  <si>
    <t>Guidance - Supplier Management</t>
  </si>
  <si>
    <t>IT operations should manage suppliers supporting IT services to ensure they meet contractual obligations</t>
  </si>
  <si>
    <t>Ensure IT suppliers deliver services as contracted</t>
  </si>
  <si>
    <t>Implement a supplier management process for IT operations vendors, tracking performance against contracts and escalating non-compliance.</t>
  </si>
  <si>
    <t>This checkpoint tests whether the organisation has addressed the risk of iT operations should manage suppliers supporting IT services to ensure they meet contractual obligations, as required under RBI Circular DBS.CO.ITC.BC.No.6/31.02.008/2010-11 (Gopalakrishna Committee Guidelines) / Clause Guidance - Supplier Management. It is a manual detective control; the auditor's objective is to independently verify that the stated control has been designed and implemented as described, and is operating effectively to bring the medium inherent risk down to an acceptable residual level.</t>
  </si>
  <si>
    <t>Confirm that implement a supplier management process for IT operations vendors, tracking performance against contracts and escalating non-compliance.</t>
  </si>
  <si>
    <t>Review supplier performance review records and evidence of escalation for underperformance.</t>
  </si>
  <si>
    <t>IT Procurement / IT Operations</t>
  </si>
  <si>
    <t>Supplier performance review records</t>
  </si>
  <si>
    <t>Manual review and sign-off by IT Procurement / IT Operations, in line with the defined periodicity (Annual); exceptions/deviations escalated for corrective action.</t>
  </si>
  <si>
    <t>Guidance - Configuration Management</t>
  </si>
  <si>
    <t>Service Asset and Configuration Management should maintain accurate records of IT assets/configuration items and their relationships</t>
  </si>
  <si>
    <t>Maintain accurate and current configuration information to support change and incident management</t>
  </si>
  <si>
    <t>Implement a Configuration Management Database (CMDB) recording configuration items, versions, relationships and ownership; keep synchronised with production environment.</t>
  </si>
  <si>
    <t>This checkpoint tests whether the organisation has addressed the risk of service Asset and Configuration Management should maintain accurate records of IT assets/configuration items and their relationships, as required under RBI Circular DBS.CO.ITC.BC.No.6/31.02.008/2010-11 (Gopalakrishna Committee Guidelines) / Clause Guidance - Configuration Management.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</si>
  <si>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a Configuration Management Database (CMDB) recording configuration items, versions, relationships and ownership.</t>
  </si>
  <si>
    <t>Sample CMDB records against production environment for accuracy; review reconciliation reports.</t>
  </si>
  <si>
    <t>CMDB records; Reconciliation reports</t>
  </si>
  <si>
    <t>Guidance - Event Management</t>
  </si>
  <si>
    <t>Event management processes should detect and categorise events across the IT infrastructure supporting proactive operations</t>
  </si>
  <si>
    <t>Enable proactive detection of operational issues before they impact service</t>
  </si>
  <si>
    <t>Implement event monitoring tools/processes to detect, categorise and respond to infrastructure and application events.</t>
  </si>
  <si>
    <t>This checkpoint tests whether the organisation has addressed the risk of event management processes should detect and categorise events across the IT infrastructure supporting proactive operations, as required under RBI Circular DBS.CO.ITC.BC.No.6/31.02.008/2010-11 (Gopalakrishna Committee Guidelines) / Clause Guidance - Event Management. It is a auto detective control; the auditor's objective is to independently verify that the stated control has been designed and implemented as described, and is operating effectively to bring the medium inherent risk down to an acceptable residual level.</t>
  </si>
  <si>
    <t>Confirm that implement event monitoring tools/processes to detect, categorise and respond to infrastructure and application events.</t>
  </si>
  <si>
    <t>Review event monitoring tool configuration and sample alert-to-resolution timelines.</t>
  </si>
  <si>
    <t>Event monitoring logs; Alert configuration</t>
  </si>
  <si>
    <t>Guidance - Incident Management</t>
  </si>
  <si>
    <t>A formal incident management process should record, prioritise, escalate and resolve IT incidents</t>
  </si>
  <si>
    <t>Restore normal IT service as quickly as possible following disruption</t>
  </si>
  <si>
    <t>Implement incident management process with defined severity classification, escalation matrix and resolution SLAs; integrate with Service Desk.</t>
  </si>
  <si>
    <t>This checkpoint tests whether the organisation has addressed the risk of a formal incident management process should record, prioritise, escalate and resolve IT incidents, as required under RBI Circular DBS.CO.ITC.BC.No.6/31.02.008/2010-11 (Gopalakrishna Committee Guidelines) / Clause Guidance - Incident Management. It is a semi-auto corrective control; the auditor's objective is to independently verify that the stated control has been designed and implemented as described, and is operating effectively to bring the high inherent risk down to an acceptable residual level.</t>
  </si>
  <si>
    <t>Confirm that implement incident management process with defined severity classification, escalation matrix and resolution SLAs.</t>
  </si>
  <si>
    <t>Sample incident tickets for classification accuracy, escalation adherence and resolution timeliness.</t>
  </si>
  <si>
    <t>Incident tickets; Incident management SOP</t>
  </si>
  <si>
    <t>Guidance - Problem Management</t>
  </si>
  <si>
    <t>Problem management should identify root causes of recurring incidents and implement permanent fixes</t>
  </si>
  <si>
    <t>Minimise the impact of recurring incidents through permanent resolution</t>
  </si>
  <si>
    <t>Implement problem management process to perform root cause analysis of recurring/major incidents and track permanent corrective actions to closure.</t>
  </si>
  <si>
    <t>This checkpoint tests whether the organisation has addressed the risk of problem management should identify root causes of recurring incidents and implement permanent fixes, as required under RBI Circular DBS.CO.ITC.BC.No.6/31.02.008/2010-11 (Gopalakrishna Committee Guidelines) / Clause Guidance - Problem Management. It is a manual corrective control; the auditor's objective is to independently verify that the stated control has been designed and implemented as described, and is operating effectively to bring the medium inherent risk down to an acceptable residual level.</t>
  </si>
  <si>
    <t>Confirm that implement problem management process to perform root cause analysis of recurring/major incidents and track permanent corrective actions to closure.</t>
  </si>
  <si>
    <t>Review problem management log for linkage to recurring incidents and closure of corrective actions.</t>
  </si>
  <si>
    <t>Problem management log; RCA reports</t>
  </si>
  <si>
    <t>Manual review and sign-off by IT Operations, in line with the defined periodicity (Ongoing); exceptions/deviations escalated for corrective action.</t>
  </si>
  <si>
    <t>Guidance - Access Management (IT Operations)</t>
  </si>
  <si>
    <t>IT Operations should manage the granting/revoking of access to systems in line with defined policy</t>
  </si>
  <si>
    <t>Ensure operational access to IT systems is properly authorised and current</t>
  </si>
  <si>
    <t>Implement access management procedures within IT operations for granting, modifying and revoking system access, in coordination with the information security access control policy.</t>
  </si>
  <si>
    <t>This checkpoint tests whether the organisation has addressed the risk of iT Operations should manage the granting/revoking of access to systems in line with defined policy, as required under RBI Circular DBS.CO.ITC.BC.No.6/31.02.008/2010-11 (Gopalakrishna Committee Guidelines) / Clause Guidance - Access Management (IT Operations).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</si>
  <si>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access management procedures within IT operations for granting, modifying and revoking system access, in coordination with the information security access control policy.</t>
  </si>
  <si>
    <t>Sample access grant/revocation records, particularly for employee exits and role changes.</t>
  </si>
  <si>
    <t>IT Operations / IT Security</t>
  </si>
  <si>
    <t>Access request/revocation logs</t>
  </si>
  <si>
    <t>System-generated reports reviewed periodically alongside manual verification by IT Operations / IT Security, in line with the defined periodicity (Ongoing); deviations reported for corrective action.</t>
  </si>
  <si>
    <t>TPR-003</t>
  </si>
  <si>
    <t>IT Services Outsourcing</t>
  </si>
  <si>
    <t>Chapter 4 - IT Services Outsourcing</t>
  </si>
  <si>
    <t>Guidance - Board Responsibility for Outsourcing Governance</t>
  </si>
  <si>
    <t>Board is responsible for instituting a governance mechanism, approval authorities and risk-based policies for outsourcing</t>
  </si>
  <si>
    <t>Ensure end-to-end governance and accountability over outsourced activities</t>
  </si>
  <si>
    <t>Establish a Board-approved outsourcing governance framework defining approval authorities, risk-based policies and periodic review requirements for outsourcing arrangements.</t>
  </si>
  <si>
    <t>This checkpoint tests whether the organisation has addressed the risk of board is responsible for instituting a governance mechanism, approval authorities and risk-based policies for outsourcing, as required under RBI Circular DBS.CO.ITC.BC.No.6/31.02.008/2010-11 (Gopalakrishna Committee Guidelines) / Clause Guidance - Board Responsibility for Outsourcing Governance.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</si>
  <si>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a Board-approved outsourcing governance framework defining approval authorities, risk-based policies and periodic review requirements for outsourcing arrangements.</t>
  </si>
  <si>
    <t>Review Board-approved outsourcing policy and evidence of periodic Board review of outsourcing strategy.</t>
  </si>
  <si>
    <t>Board / Senior Management</t>
  </si>
  <si>
    <t>Outsourcing policy; Board approval record</t>
  </si>
  <si>
    <t>Manual review and sign-off by Board / Senior Management, in line with the defined periodicity (Annual); exceptions/deviations escalated for corrective action.</t>
  </si>
  <si>
    <t>Guidance - Materiality Assessment</t>
  </si>
  <si>
    <t>Criteria should be defined to determine the materiality of a proposed outsourcing arrangement</t>
  </si>
  <si>
    <t>Ensure appropriate level of scrutiny and approval commensurate with outsourcing risk</t>
  </si>
  <si>
    <t>Define and apply materiality assessment criteria (financial, operational, reputational impact) before approving any outsourcing arrangement.</t>
  </si>
  <si>
    <t>This checkpoint tests whether the organisation has addressed the risk of criteria should be defined to determine the materiality of a proposed outsourcing arrangement, as required under RBI Circular DBS.CO.ITC.BC.No.6/31.02.008/2010-11 (Gopalakrishna Committee Guidelines) / Clause Guidance - Materiality Assessment. It is a manual preventive control; the auditor's objective is to independently verify that the stated control has been designed and implemented as described, and is operating effectively to bring the high inherent risk down to an acceptable residual level.</t>
  </si>
  <si>
    <t>Confirm that define and apply materiality assessment criteria (financial, operational, reputational impact) before approving any outsourcing arrangement.</t>
  </si>
  <si>
    <t>Sample outsourcing arrangements; verify materiality assessment was performed and approval level matched materiality.</t>
  </si>
  <si>
    <t>Risk Management / Business Units</t>
  </si>
  <si>
    <t>Per engagement</t>
  </si>
  <si>
    <t>Materiality assessment records</t>
  </si>
  <si>
    <t>Manual review and sign-off by Risk Management / Business Units, in line with the defined periodicity (Per engagement); exceptions/deviations escalated for corrective action.</t>
  </si>
  <si>
    <t>Guidance - Periodic Review of Outsourced Processes</t>
  </si>
  <si>
    <t>Banks should periodically review outsourced processes to identify new/emerging risks</t>
  </si>
  <si>
    <t>Ensure outsourcing risk profile remains current and acceptable</t>
  </si>
  <si>
    <t>Conduct periodic (at least annual) review of all outsourced processes and arrangements to identify new risks and reassess continued suitability.</t>
  </si>
  <si>
    <t>This checkpoint tests whether the organisation has addressed the risk of banks should periodically review outsourced processes to identify new/emerging risks, as required under RBI Circular DBS.CO.ITC.BC.No.6/31.02.008/2010-11 (Gopalakrishna Committee Guidelines) / Clause Guidance - Periodic Review of Outsourced Processes. It is a manual detective control; the auditor's objective is to independently verify that the stated control has been designed and implemented as described, and is operating effectively to bring the medium inherent risk down to an acceptable residual level.</t>
  </si>
  <si>
    <t>Confirm that conduct periodic (at least annual) review of all outsourced processes and arrangements to identify new risks and reassess continued suitability.</t>
  </si>
  <si>
    <t>Review annual outsourcing review reports for coverage of all material arrangements.</t>
  </si>
  <si>
    <t>Outsourcing review reports</t>
  </si>
  <si>
    <t>Manual review and sign-off by Risk Management / Business Units, in line with the defined periodicity (Annual); exceptions/deviations escalated for corrective action.</t>
  </si>
  <si>
    <t>Guidance - Risk Evaluation Framework</t>
  </si>
  <si>
    <t>A risk evaluation framework should be applied prior to entering into an outsourcing agreement</t>
  </si>
  <si>
    <t>Ensure risks are identified and mitigated before outsourcing commitments are made</t>
  </si>
  <si>
    <t>Apply a documented risk evaluation framework (identifying functions to be outsourced, associated risks and required controls) prior to signing outsourcing agreements.</t>
  </si>
  <si>
    <t>This checkpoint tests whether the organisation has addressed the risk of a risk evaluation framework should be applied prior to entering into an outsourcing agreement, as required under RBI Circular DBS.CO.ITC.BC.No.6/31.02.008/2010-11 (Gopalakrishna Committee Guidelines) / Clause Guidance - Risk Evaluation Framework. It is a manual preventive control; the auditor's objective is to independently verify that the stated control has been designed and implemented as described, and is operating effectively to bring the high inherent risk down to an acceptable residual level.</t>
  </si>
  <si>
    <t>Confirm that apply a documented risk evaluation framework (identifying functions to be outsourced, associated risks and required controls) prior to signing outsourcing agreements.</t>
  </si>
  <si>
    <t>Review risk evaluation documentation for a sample of recent outsourcing agreements.</t>
  </si>
  <si>
    <t>Risk Management / Legal</t>
  </si>
  <si>
    <t>Risk evaluation report</t>
  </si>
  <si>
    <t>Manual review and sign-off by Risk Management / Legal, in line with the defined periodicity (Per engagement); exceptions/deviations escalated for corrective action.</t>
  </si>
  <si>
    <t>Guidance - Due Diligence of Service Providers</t>
  </si>
  <si>
    <t>Due diligence reviews of prospective service providers should be performed prior to outsourcing, including independent reviews where possible</t>
  </si>
  <si>
    <t>Ensure service providers are capable and low-risk before engagement</t>
  </si>
  <si>
    <t>Conduct due diligence on prospective service providers (financial stability, technical capability, security posture) commensurate with risk; obtain independent reviews/market feedback where feasible.</t>
  </si>
  <si>
    <t>This checkpoint tests whether the organisation has addressed the risk of due diligence reviews of prospective service providers should be performed prior to outsourcing, including independent reviews where possible, as required under RBI Circular DBS.CO.ITC.BC.No.6/31.02.008/2010-11 (Gopalakrishna Committee Guidelines) / Clause Guidance - Due Diligence of Service Providers. It is a manual preventive control; the auditor's objective is to independently verify that the stated control has been designed and implemented as described, and is operating effectively to bring the high inherent risk down to an acceptable residual level.</t>
  </si>
  <si>
    <t>Confirm that conduct due diligence on prospective service providers (financial stability, technical capability, security posture) commensurate with risk.</t>
  </si>
  <si>
    <t>Review due diligence reports for sampled vendors against defined due diligence criteria.</t>
  </si>
  <si>
    <t>Procurement / Risk Management</t>
  </si>
  <si>
    <t>Due diligence report</t>
  </si>
  <si>
    <t>Manual review and sign-off by Procurement / Risk Management, in line with the defined periodicity (Per engagement); exceptions/deviations escalated for corrective action.</t>
  </si>
  <si>
    <t>Guidance - Reporting to Regulator</t>
  </si>
  <si>
    <t>Material outsourcing arrangements should be reported to RBI/regulator as required</t>
  </si>
  <si>
    <t>Ensure regulatory reporting obligations for outsourcing are met</t>
  </si>
  <si>
    <t>Maintain a process to identify material outsourcing arrangements requiring regulatory notification and submit reports to RBI as applicable.</t>
  </si>
  <si>
    <t>This checkpoint tests whether the organisation has addressed the risk of material outsourcing arrangements should be reported to RBI/regulator as required, as required under RBI Circular DBS.CO.ITC.BC.No.6/31.02.008/2010-11 (Gopalakrishna Committee Guidelines) / Clause Guidance - Reporting to Regulator. It is a manual preventive control; the auditor's objective is to independently verify that the stated control has been designed and implemented as described, and is operating effectively to bring the high inherent risk down to an acceptable residual level.</t>
  </si>
  <si>
    <t>Confirm that maintain a process to identify material outsourcing arrangements requiring regulatory notification and submit reports to RBI as applicable.</t>
  </si>
  <si>
    <t>Review regulatory notification records against list of material outsourcing arrangements.</t>
  </si>
  <si>
    <t>Compliance / Legal</t>
  </si>
  <si>
    <t>Event-driven</t>
  </si>
  <si>
    <t>Regulatory notification records</t>
  </si>
  <si>
    <t>Manual review and sign-off by Compliance / Legal, in line with the defined periodicity (Event-driven); exceptions/deviations escalated for corrective action.</t>
  </si>
  <si>
    <t>Guidance - Multiple Service Provider Relationships</t>
  </si>
  <si>
    <t>Where multiple service providers are engaged for a single outsourced function, roles and interdependencies must be clearly defined</t>
  </si>
  <si>
    <t>Avoid accountability gaps in multi-vendor outsourcing arrangements</t>
  </si>
  <si>
    <t>Document roles, responsibilities and interfaces where multiple service providers jointly support an outsourced function, to avoid accountability gaps.</t>
  </si>
  <si>
    <t>This checkpoint tests whether the organisation has addressed the risk of where multiple service providers are engaged for a single outsourced function, roles and interdependencies must be clearly defined, as required under RBI Circular DBS.CO.ITC.BC.No.6/31.02.008/2010-11 (Gopalakrishna Committee Guidelines) / Clause Guidance - Multiple Service Provider Relationships. It is a manual preventive control; the auditor's objective is to independently verify that the stated control has been designed and implemented as described, and is operating effectively to bring the medium inherent risk down to an acceptable residual level.</t>
  </si>
  <si>
    <t>Confirm that document roles, responsibilities and interfaces where multiple service providers jointly support an outsourced function, to avoid accountability gaps.</t>
  </si>
  <si>
    <t>Review governance documentation for arrangements involving multiple service providers.</t>
  </si>
  <si>
    <t>Vendor Management</t>
  </si>
  <si>
    <t>Multi-vendor governance document</t>
  </si>
  <si>
    <t>Manual review and sign-off by Vendor Management, in line with the defined periodicity (Per engagement); exceptions/deviations escalated for corrective action.</t>
  </si>
  <si>
    <t>Guidance - Outsourcing Contract Terms</t>
  </si>
  <si>
    <t>Outsourcing contracts must clearly establish the legal relationship, liability, audit rights, and sub-contracting terms</t>
  </si>
  <si>
    <t>Protect the bank's legal and operational interests in outsourcing relationships</t>
  </si>
  <si>
    <t>Ensure outsourcing contracts include clauses on legal relationship, liability, audit/inspection rights for the bank and RBI, sub-contracting restrictions, and termination/exit provisions.</t>
  </si>
  <si>
    <t>This checkpoint tests whether the organisation has addressed the risk of outsourcing contracts must clearly establish the legal relationship, liability, audit rights, and sub-contracting terms, as required under RBI Circular DBS.CO.ITC.BC.No.6/31.02.008/2010-11 (Gopalakrishna Committee Guidelines) / Clause Guidance - Outsourcing Contract Terms. It is a manual preventive control; the auditor's objective is to independently verify that the stated control has been designed and implemented as described, and is operating effectively to bring the high inherent risk down to an acceptable residual level.</t>
  </si>
  <si>
    <t>Confirm that ensure outsourcing contracts include clauses on legal relationship, liability, audit/inspection rights for the bank and RBI, sub-contracting restrictions, and termination/exit provisions.</t>
  </si>
  <si>
    <t>Review sample outsourcing contracts for presence of all required clauses.</t>
  </si>
  <si>
    <t>Legal / Procurement</t>
  </si>
  <si>
    <t>Signed outsourcing contracts</t>
  </si>
  <si>
    <t>Manual review and sign-off by Legal / Procurement, in line with the defined periodicity (Per engagement); exceptions/deviations escalated for corrective action.</t>
  </si>
  <si>
    <t>Guidance - SLA &amp; Performance Metrics</t>
  </si>
  <si>
    <t>Outsourcing contracts should include SLAs and performance metrics that are monitored</t>
  </si>
  <si>
    <t>Ensure outsourced service delivery meets agreed standards</t>
  </si>
  <si>
    <t>Include measurable SLAs and performance metrics in outsourcing contracts; monitor actual performance and enforce remedies for breaches.</t>
  </si>
  <si>
    <t>This checkpoint tests whether the organisation has addressed the risk of outsourcing contracts should include SLAs and performance metrics that are monitored, as required under RBI Circular DBS.CO.ITC.BC.No.6/31.02.008/2010-11 (Gopalakrishna Committee Guidelines) / Clause Guidance - SLA &amp; Performance Metrics. It is a semi-auto detective control; the auditor's objective is to independently verify that the stated control has been designed and implemented as described, and is operating effectively to bring the high inherent risk down to an acceptable residual level.</t>
  </si>
  <si>
    <t>Confirm that include measurable SLAs and performance metrics in outsourcing contracts.</t>
  </si>
  <si>
    <t>Sample SLA performance reports and evidence of remedial action for breaches.</t>
  </si>
  <si>
    <t>SLA performance reports</t>
  </si>
  <si>
    <t>System-generated reports reviewed periodically alongside manual verification by Vendor Management, in line with the defined periodicity (Quarterly); deviations reported for corrective action.</t>
  </si>
  <si>
    <t>Guidance - Internal Controls Assessment</t>
  </si>
  <si>
    <t>Adequacy of internal controls environment offered by the service provider should be evaluated</t>
  </si>
  <si>
    <t>Ensure outsourced processes are subject to adequate internal controls</t>
  </si>
  <si>
    <t>Evaluate the service provider's internal control environment (e.g. via SOC/ISAE reports or onsite audit) prior to and during the engagement.</t>
  </si>
  <si>
    <t>This checkpoint tests whether the organisation has addressed the risk of adequacy of internal controls environment offered by the service provider should be evaluated, as required under RBI Circular DBS.CO.ITC.BC.No.6/31.02.008/2010-11 (Gopalakrishna Committee Guidelines) / Clause Guidance - Internal Controls Assessment. It is a manual detective control; the auditor's objective is to independently verify that the stated control has been designed and implemented as described, and is operating effectively to bring the high inherent risk down to an acceptable residual level.</t>
  </si>
  <si>
    <t>Confirm that evaluate the service provider's internal control environment (e.g. via SOC/ISAE reports or onsite audit) prior to and during the engagement.</t>
  </si>
  <si>
    <t>Review service provider control assessment or third-party assurance reports (e.g. SOC 2).</t>
  </si>
  <si>
    <t>Risk Management / Audit</t>
  </si>
  <si>
    <t>Service provider control assessment / SOC reports</t>
  </si>
  <si>
    <t>Manual review and sign-off by Risk Management / Audit, in line with the defined periodicity (Annual); exceptions/deviations escalated for corrective action.</t>
  </si>
  <si>
    <t>Guidance - Independent Audit of Outsourced Activities</t>
  </si>
  <si>
    <t>Banks should periodically commission independent audits/expert assessments of outsourced arrangements</t>
  </si>
  <si>
    <t>Provide independent assurance over outsourcing risk management</t>
  </si>
  <si>
    <t>Commission periodic independent audits or expert assessments of material outsourced arrangements, considering historical violations in scoping.</t>
  </si>
  <si>
    <t>This checkpoint tests whether the organisation has addressed the risk of banks should periodically commission independent audits/expert assessments of outsourced arrangements, as required under RBI Circular DBS.CO.ITC.BC.No.6/31.02.008/2010-11 (Gopalakrishna Committee Guidelines) / Clause Guidance - Independent Audit of Outsourced Activities. It is a manual detective control; the auditor's objective is to independently verify that the stated control has been designed and implemented as described, and is operating effectively to bring the medium inherent risk down to an acceptable residual level.</t>
  </si>
  <si>
    <t>Confirm that commission periodic independent audits or expert assessments of material outsourced arrangements, considering historical violations in scoping.</t>
  </si>
  <si>
    <t>Review independent audit reports and follow-up on findings for outsourced arrangements.</t>
  </si>
  <si>
    <t>Independent audit reports</t>
  </si>
  <si>
    <t>Manual review and sign-off by Internal Audit, in line with the defined periodicity (Annual); exceptions/deviations escalated for corrective action.</t>
  </si>
  <si>
    <t>Guidance - Outsourcing BCP</t>
  </si>
  <si>
    <t>Business continuity preparedness must not be adversely affected by outsourcing arrangements</t>
  </si>
  <si>
    <t>Ensure continuity of outsourced services during a disruption</t>
  </si>
  <si>
    <t>Ensure outsourcing contracts require the service provider to maintain a tested BCP/DR capability; assess adequacy periodically.</t>
  </si>
  <si>
    <t>This checkpoint tests whether the organisation has addressed the risk of business continuity preparedness must not be adversely affected by outsourcing arrangements, as required under RBI Circular DBS.CO.ITC.BC.No.6/31.02.008/2010-11 (Gopalakrishna Committee Guidelines) / Clause Guidance - Outsourcing BCP. It is a manual preventive control; the auditor's objective is to independently verify that the stated control has been designed and implemented as described, and is operating effectively to bring the high inherent risk down to an acceptable residual level.</t>
  </si>
  <si>
    <t>Confirm that ensure outsourcing contracts require the service provider to maintain a tested BCP/DR capability.</t>
  </si>
  <si>
    <t>Review service provider BCP/DR test reports and evidence of periodic evaluation by the bank.</t>
  </si>
  <si>
    <t>Business Continuity / Vendor Management</t>
  </si>
  <si>
    <t>Service provider BCP/DR test reports</t>
  </si>
  <si>
    <t>Manual review and sign-off by Business Continuity / Vendor Management, in line with the defined periodicity (Annual); exceptions/deviations escalated for corrective action.</t>
  </si>
  <si>
    <t>Guidance - Confidentiality &amp; Cross-Border Data</t>
  </si>
  <si>
    <t>Steps must be taken to protect confidentiality where service providers operate across multiple geographies</t>
  </si>
  <si>
    <t>Protect customer/bank data confidentiality in cross-border outsourcing</t>
  </si>
  <si>
    <t>Implement contractual and technical safeguards (data residency, encryption, confidentiality clauses) for outsourcing arrangements involving offshore/multi-geography service providers.</t>
  </si>
  <si>
    <t>This checkpoint tests whether the organisation has addressed the risk of steps must be taken to protect confidentiality where service providers operate across multiple geographies, as required under RBI Circular DBS.CO.ITC.BC.No.6/31.02.008/2010-11 (Gopalakrishna Committee Guidelines) / Clause Guidance - Confidentiality &amp; Cross-Border Data.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</si>
  <si>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contractual and technical safeguards (data residency, encryption, confidentiality clauses) for outsourcing arrangements involving offshore/multi-geography service providers.</t>
  </si>
  <si>
    <t>Review cross-border outsourcing arrangements for data protection safeguards and legal compliance.</t>
  </si>
  <si>
    <t>Cross-border data protection assessment</t>
  </si>
  <si>
    <t>Guidance - Grievance Redressal for Outsourced Services</t>
  </si>
  <si>
    <t>A designated grievance redressal officer's details should be available where outsourced functions are customer-facing</t>
  </si>
  <si>
    <t>Ensure customers have recourse for grievances related to outsourced services</t>
  </si>
  <si>
    <t>Publish designated grievance redressal officer contact details for customer-facing outsourced services and monitor complaint resolution timelines.</t>
  </si>
  <si>
    <t>This checkpoint tests whether the organisation has addressed the risk of a designated grievance redressal officer's details should be available where outsourced functions are customer-facing, as required under RBI Circular DBS.CO.ITC.BC.No.6/31.02.008/2010-11 (Gopalakrishna Committee Guidelines) / Clause Guidance - Grievance Redressal for Outsourced Services. It is a manual corrective control; the auditor's objective is to independently verify that the stated control has been designed and implemented as described, and is operating effectively to bring the medium inherent risk down to an acceptable residual level.</t>
  </si>
  <si>
    <t>Confirm that publish designated grievance redressal officer contact details for customer-facing outsourced services and monitor complaint resolution timelines.</t>
  </si>
  <si>
    <t>Verify publication of grievance officer details; review complaint log resolution timelines.</t>
  </si>
  <si>
    <t>Customer Service / Compliance</t>
  </si>
  <si>
    <t>Grievance redressal officer details; Complaint logs</t>
  </si>
  <si>
    <t>Manual review and sign-off by Customer Service / Compliance, in line with the defined periodicity (Ongoing); exceptions/deviations escalated for corrective action.</t>
  </si>
  <si>
    <t>Chapter 5 - IS Audit</t>
  </si>
  <si>
    <t>Guidance - Board/Audit Committee Oversight</t>
  </si>
  <si>
    <t>Board and Audit Committee of the Board (with a member possessing IT knowledge) are responsible for oversight of the IS Audit function</t>
  </si>
  <si>
    <t>Ensure Board-level oversight and technical competence in IS audit governance</t>
  </si>
  <si>
    <t>Ensure the Audit Committee of the Board includes a designated member with IS/IT audit knowledge; formalise ACB oversight of the IS Audit function.</t>
  </si>
  <si>
    <t>This checkpoint tests whether the organisation has addressed the risk of board and Audit Committee of the Board (with a member possessing IT knowledge) are responsible for oversight of the IS Audit function, as required under RBI Circular DBS.CO.ITC.BC.No.6/31.02.008/2010-11 (Gopalakrishna Committee Guidelines) / Clause Guidance - Board/Audit Committee Oversight. It is a manual preventive control; the auditor's objective is to independently verify that the stated control has been designed and implemented as described, and is operating effectively to bring the high inherent risk down to an acceptable residual level.</t>
  </si>
  <si>
    <t>Confirm that ensure the Audit Committee of the Board includes a designated member with IS/IT audit knowledge.</t>
  </si>
  <si>
    <t>Review ACB member profiles for IT/IS audit expertise; review ACB minutes for IS audit oversight items.</t>
  </si>
  <si>
    <t>Board / Audit Committee</t>
  </si>
  <si>
    <t>ACB composition record; ACB minutes</t>
  </si>
  <si>
    <t>Manual review and sign-off by Board / Audit Committee, in line with the defined periodicity (Annual); exceptions/deviations escalated for corrective action.</t>
  </si>
  <si>
    <t>Guidance - IS Audit Function Independence</t>
  </si>
  <si>
    <t>Internal Audit/IS Audit function should be independent with a formally defined charter</t>
  </si>
  <si>
    <t>Ensure independence and authority of the IS Audit function</t>
  </si>
  <si>
    <t>Establish an independent Internal Audit/IS Audit function with a Board/ACB-approved charter defining scope, authority and reporting line independent of IT operations.</t>
  </si>
  <si>
    <t>This checkpoint tests whether the organisation has addressed the risk of internal Audit/IS Audit function should be independent with a formally defined charter, as required under RBI Circular DBS.CO.ITC.BC.No.6/31.02.008/2010-11 (Gopalakrishna Committee Guidelines) / Clause Guidance - IS Audit Function Independence.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</si>
  <si>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an independent Internal Audit/IS Audit function with a Board/ACB-approved charter defining scope, authority and reporting line independent of IT operations.</t>
  </si>
  <si>
    <t>Review IS Audit charter for independence provisions and reporting line to ACB.</t>
  </si>
  <si>
    <t>Chief Audit Executive</t>
  </si>
  <si>
    <t>IS Audit charter; Organisation chart</t>
  </si>
  <si>
    <t>Manual review and sign-off by Chief Audit Executive, in line with the defined periodicity (One-time / On change); exceptions/deviations escalated for corrective action.</t>
  </si>
  <si>
    <t>Guidance - Annual Review of IS Audit Policy</t>
  </si>
  <si>
    <t>IS Audit Policy/Charter should be reviewed annually to ensure continued adequacy</t>
  </si>
  <si>
    <t>Ensure IS Audit charter remains fit for purpose</t>
  </si>
  <si>
    <t>Conduct an annual review of the IS Audit Policy/Charter and update for changes in risk environment, regulation or organisational structure.</t>
  </si>
  <si>
    <t>This checkpoint tests whether the organisation has addressed the risk of iS Audit Policy/Charter should be reviewed annually to ensure continued adequacy, as required under RBI Circular DBS.CO.ITC.BC.No.6/31.02.008/2010-11 (Gopalakrishna Committee Guidelines) / Clause Guidance - Annual Review of IS Audit Policy. It is a manual detective control; the auditor's objective is to independently verify that the stated control has been designed and implemented as described, and is operating effectively to bring the medium inherent risk down to an acceptable residual level.</t>
  </si>
  <si>
    <t>Confirm that conduct an annual review of the IS Audit Policy/Charter and update for changes in risk environment, regulation or organisational structure.</t>
  </si>
  <si>
    <t>Review evidence of annual IS Audit policy/charter review and any resulting updates.</t>
  </si>
  <si>
    <t>IS Audit policy review record</t>
  </si>
  <si>
    <t>Manual review and sign-off by Chief Audit Executive, in line with the defined periodicity (Annual); exceptions/deviations escalated for corrective action.</t>
  </si>
  <si>
    <t>Guidance - Risk-Based IS Audit Planning</t>
  </si>
  <si>
    <t>IS Audit planning should be risk-based, covering critical/high-risk systems and RBI-mandated areas</t>
  </si>
  <si>
    <t>Ensure audit resources are focused on the highest-risk areas</t>
  </si>
  <si>
    <t>Develop a risk-based IS Audit plan/universe covering critical and high-risk systems, informed by IT risk assessment and RBI circular requirements; obtain ACB approval.</t>
  </si>
  <si>
    <t>This checkpoint tests whether the organisation has addressed the risk of iS Audit planning should be risk-based, covering critical/high-risk systems and RBI-mandated areas, as required under RBI Circular DBS.CO.ITC.BC.No.6/31.02.008/2010-11 (Gopalakrishna Committee Guidelines) / Clause Guidance - Risk-Based IS Audit Planning. It is a manual preventive control; the auditor's objective is to independently verify that the stated control has been designed and implemented as described, and is operating effectively to bring the high inherent risk down to an acceptable residual level.</t>
  </si>
  <si>
    <t>Confirm that develop a risk-based IS Audit plan/universe covering critical and high-risk systems, informed by IT risk assessment and RBI circular requirements.</t>
  </si>
  <si>
    <t>Review the risk-based audit plan and underlying risk assessment methodology; verify ACB approval.</t>
  </si>
  <si>
    <t>IS Audit Function</t>
  </si>
  <si>
    <t>Risk-based audit plan; ACB approval</t>
  </si>
  <si>
    <t>Manual review and sign-off by IS Audit Function, in line with the defined periodicity (Annual); exceptions/deviations escalated for corrective action.</t>
  </si>
  <si>
    <t>Guidance - Audit Plan Components &amp; Scope</t>
  </si>
  <si>
    <t>The IS Audit scope should cover defined critical components and processes as per the audit plan</t>
  </si>
  <si>
    <t>Ensure comprehensive and well-structured audit coverage</t>
  </si>
  <si>
    <t>Define audit plan components (objectives, scope, resources, timelines) and ensure IS Audit scope covers all critical components identified in the risk assessment.</t>
  </si>
  <si>
    <t>This checkpoint tests whether the organisation has addressed the risk of the IS Audit scope should cover defined critical components and processes as per the audit plan, as required under RBI Circular DBS.CO.ITC.BC.No.6/31.02.008/2010-11 (Gopalakrishna Committee Guidelines) / Clause Guidance - Audit Plan Components &amp; Scope. It is a manual preventive control; the auditor's objective is to independently verify that the stated control has been designed and implemented as described, and is operating effectively to bring the medium inherent risk down to an acceptable residual level.</t>
  </si>
  <si>
    <t>Confirm that define audit plan components (objectives, scope, resources, timelines) and ensure IS Audit scope covers all critical components identified in the risk assessment.</t>
  </si>
  <si>
    <t>Review audit plan documentation for completeness of components and scope coverage.</t>
  </si>
  <si>
    <t>Audit plan documentation</t>
  </si>
  <si>
    <t>Guidance - Sampling Methodology</t>
  </si>
  <si>
    <t>IS Auditors should apply a defined methodology for sample design and selection during testing</t>
  </si>
  <si>
    <t>Ensure audit conclusions are supported by appropriately designed samples</t>
  </si>
  <si>
    <t>Adopt a documented statistical/judgmental sampling methodology for audit testing, ensuring sample size and selection are appropriate to risk and population.</t>
  </si>
  <si>
    <t>This checkpoint tests whether the organisation has addressed the risk of iS Auditors should apply a defined methodology for sample design and selection during testing, as required under RBI Circular DBS.CO.ITC.BC.No.6/31.02.008/2010-11 (Gopalakrishna Committee Guidelines) / Clause Guidance - Sampling Methodology. It is a manual detective control; the auditor's objective is to independently verify that the stated control has been designed and implemented as described, and is operating effectively to bring the medium inherent risk down to an acceptable residual level.</t>
  </si>
  <si>
    <t>Confirm that adopt a documented statistical/judgmental sampling methodology for audit testing, ensuring sample size and selection are appropriate to risk and population.</t>
  </si>
  <si>
    <t>Review audit workpapers for documented sampling methodology and justification of sample size.</t>
  </si>
  <si>
    <t>Per audit</t>
  </si>
  <si>
    <t>Sampling methodology documentation; Audit workpapers</t>
  </si>
  <si>
    <t>Manual review and sign-off by IS Audit Function, in line with the defined periodicity (Per audit); exceptions/deviations escalated for corrective action.</t>
  </si>
  <si>
    <t>Guidance - Audit Evidence &amp; Documentation</t>
  </si>
  <si>
    <t>IS Auditors should gather sufficient, reliable evidence and document work to support findings</t>
  </si>
  <si>
    <t>Ensure audit conclusions are well-supported and defensible</t>
  </si>
  <si>
    <t>Ensure IS Audit engagements gather sufficient and reliable audit evidence, with documentation organised to support conclusions and enable independent review.</t>
  </si>
  <si>
    <t>This checkpoint tests whether the organisation has addressed the risk of iS Auditors should gather sufficient, reliable evidence and document work to support findings, as required under RBI Circular DBS.CO.ITC.BC.No.6/31.02.008/2010-11 (Gopalakrishna Committee Guidelines) / Clause Guidance - Audit Evidence &amp; Documentation. It is a manual detective control; the auditor's objective is to independently verify that the stated control has been designed and implemented as described, and is operating effectively to bring the high inherent risk down to an acceptable residual level.</t>
  </si>
  <si>
    <t>Confirm that ensure IS Audit engagements gather sufficient and reliable audit evidence, with documentation organised to support conclusions and enable independent review.</t>
  </si>
  <si>
    <t>Review audit workpapers for evidence sufficiency and documentation quality on a sample basis.</t>
  </si>
  <si>
    <t>Audit workpapers; Evidence files</t>
  </si>
  <si>
    <t>Guidance - Use of CAATs</t>
  </si>
  <si>
    <t>Computer Assisted Audit Techniques should be used, including testing accelerators and audit facilitators, where appropriate</t>
  </si>
  <si>
    <t>Enhance audit coverage and efficiency through automated testing</t>
  </si>
  <si>
    <t>Deploy Computer Assisted Audit Techniques (CAATs) for data analytics/testing accelerators to improve coverage and efficiency of IS audit procedures.</t>
  </si>
  <si>
    <t>This checkpoint tests whether the organisation has addressed the risk of computer Assisted Audit Techniques should be used, including testing accelerators and audit facilitators, where appropriate, as required under RBI Circular DBS.CO.ITC.BC.No.6/31.02.008/2010-11 (Gopalakrishna Committee Guidelines) / Clause Guidance - Use of CAATs. It is a semi-auto detective control; the auditor's objective is to independently verify that the stated control has been designed and implemented as described, and is operating effectively to bring the medium inherent risk down to an acceptable residual level.</t>
  </si>
  <si>
    <t>Confirm that deploy Computer Assisted Audit Techniques (CAATs) for data analytics/testing accelerators to improve coverage and efficiency of IS audit procedures.</t>
  </si>
  <si>
    <t>Review evidence of CAAT usage in audit engagements and resulting findings.</t>
  </si>
  <si>
    <t>CAAT tool output; Audit workpapers</t>
  </si>
  <si>
    <t>System-generated reports reviewed periodically alongside manual verification by IS Audit Function, in line with the defined periodicity (Per audit); deviations reported for corrective action.</t>
  </si>
  <si>
    <t>Guidance - Continuous Auditing</t>
  </si>
  <si>
    <t>A continuous auditing approach should be considered to enable ongoing control and risk assessment rather than only periodic reviews</t>
  </si>
  <si>
    <t>Enable timely identification of control breakdowns between periodic audits</t>
  </si>
  <si>
    <t>Implement continuous auditing techniques for high-risk/critical systems to enable ongoing monitoring of controls rather than relying solely on periodic point-in-time audits.</t>
  </si>
  <si>
    <t>This checkpoint tests whether the organisation has addressed the risk of a continuous auditing approach should be considered to enable ongoing control and risk assessment rather than only periodic reviews, as required under RBI Circular DBS.CO.ITC.BC.No.6/31.02.008/2010-11 (Gopalakrishna Committee Guidelines) / Clause Guidance - Continuous Auditing. It is a auto detective control; the auditor's objective is to independently verify that the stated control has been designed and implemented as described, and is operating effectively to bring the medium inherent risk down to an acceptable residual level.</t>
  </si>
  <si>
    <t>Confirm that implement continuous auditing techniques for high-risk/critical systems to enable ongoing monitoring of controls rather than relying solely on periodic point-in-time audits.</t>
  </si>
  <si>
    <t>Review continuous audit monitoring output and evidence of timely escalation of exceptions.</t>
  </si>
  <si>
    <t>Continuous audit monitoring reports</t>
  </si>
  <si>
    <t>System-generated alerts and reports are monitored by IS Audit Function, in line with the defined periodicity (Ongoing); exceptions are escalated for corrective action.</t>
  </si>
  <si>
    <t>Guidance - Audit Reporting &amp; Follow-up</t>
  </si>
  <si>
    <t>Major findings should have defined timelines for corrective action with tracking to closure</t>
  </si>
  <si>
    <t>Ensure timely remediation of identified control weaknesses</t>
  </si>
  <si>
    <t>Ensure IS Audit reports assign defined timelines for remediation of findings, with a formal tracking and follow-up process to closure, reported to ACB.</t>
  </si>
  <si>
    <t>This checkpoint tests whether the organisation has addressed the risk of major findings should have defined timelines for corrective action with tracking to closure, as required under RBI Circular DBS.CO.ITC.BC.No.6/31.02.008/2010-11 (Gopalakrishna Committee Guidelines) / Clause Guidance - Audit Reporting &amp; Follow-up. It is a manual corrective control; the auditor's objective is to independently verify that the stated control has been designed and implemented as described, and is operating effectively to bring the high inherent risk down to an acceptable residual level.</t>
  </si>
  <si>
    <t>Confirm that ensure IS Audit reports assign defined timelines for remediation of findings, with a formal tracking and follow-up process to closure, reported to ACB.</t>
  </si>
  <si>
    <t>Sample audit findings and verify remediation timelines were met and tracked to closure.</t>
  </si>
  <si>
    <t>IS Audit Function / Auditee Management</t>
  </si>
  <si>
    <t>Audit reports; Issue tracker; ACB follow-up minutes</t>
  </si>
  <si>
    <t>Manual review and sign-off by IS Audit Function / Auditee Management, in line with the defined periodicity (Ongoing); exceptions/deviations escalated for corrective action.</t>
  </si>
  <si>
    <t>Guidance - Outsourced Audit / Service Auditor Reports</t>
  </si>
  <si>
    <t>Where segments of the audit plan are outsourced, or service auditor reports are relied upon, adequate oversight must be maintained</t>
  </si>
  <si>
    <t>Ensure quality and reliability of audit work performed by third parties</t>
  </si>
  <si>
    <t>Where IS audit work is outsourced, ensure ACB/CAE maintain oversight of external professional service providers; where relying on service auditor reports, assess their adequacy for the bank's risk.</t>
  </si>
  <si>
    <t>This checkpoint tests whether the organisation has addressed the risk of where segments of the audit plan are outsourced, or service auditor reports are relied upon, adequate oversight must be maintained, as required under RBI Circular DBS.CO.ITC.BC.No.6/31.02.008/2010-11 (Gopalakrishna Committee Guidelines) / Clause Guidance - Outsourced Audit / Service Auditor Reports. It is a manual detective control; the auditor's objective is to independently verify that the stated control has been designed and implemented as described, and is operating effectively to bring the medium inherent risk down to an acceptable residual level.</t>
  </si>
  <si>
    <t>Confirm that where IS audit work is outsourced, ensure ACB/CAE maintain oversight of external professional service providers.</t>
  </si>
  <si>
    <t>Review oversight documentation for outsourced audit engagements and assessment of service auditor reports.</t>
  </si>
  <si>
    <t>Chief Audit Executive / ACB</t>
  </si>
  <si>
    <t>Outsourced audit oversight records; Service auditor reports</t>
  </si>
  <si>
    <t>Manual review and sign-off by Chief Audit Executive / ACB, in line with the defined periodicity (Annual); exceptions/deviations escalated for corrective action.</t>
  </si>
  <si>
    <t>Guidance - IS Audit Quality Assessment</t>
  </si>
  <si>
    <t>Objectives of a periodic quality assessment of the IS Audit function should be defined and evaluated</t>
  </si>
  <si>
    <t>Ensure the IS Audit function itself operates to a high standard</t>
  </si>
  <si>
    <t>Conduct periodic quality assessment (self-assessment and/or external) of the IS Audit function against defined objectives and professional standards.</t>
  </si>
  <si>
    <t>This checkpoint tests whether the organisation has addressed the risk of objectives of a periodic quality assessment of the IS Audit function should be defined and evaluated, as required under RBI Circular DBS.CO.ITC.BC.No.6/31.02.008/2010-11 (Gopalakrishna Committee Guidelines) / Clause Guidance - IS Audit Quality Assessment. It is a manual detective control; the auditor's objective is to independently verify that the stated control has been designed and implemented as described, and is operating effectively to bring the medium inherent risk down to an acceptable residual level.</t>
  </si>
  <si>
    <t>Confirm that conduct periodic quality assessment (self-assessment and/or external) of the IS Audit function against defined objectives and professional standards.</t>
  </si>
  <si>
    <t>Review quality assessment reports and evidence of action on identified improvement areas.</t>
  </si>
  <si>
    <t>Quality assessment report</t>
  </si>
  <si>
    <t>Guidance - Coverage of RBI Circulars</t>
  </si>
  <si>
    <t>IS Audit scope should specifically cover RBI reports/circulars applicable to relevant audit areas</t>
  </si>
  <si>
    <t>Ensure IS Audit specifically addresses applicable regulatory requirements</t>
  </si>
  <si>
    <t>Maintain a mapping of applicable RBI circulars/reports to IS Audit scope areas to ensure regulatory requirements are specifically tested.</t>
  </si>
  <si>
    <t>This checkpoint tests whether the organisation has addressed the risk of iS Audit scope should specifically cover RBI reports/circulars applicable to relevant audit areas, as required under RBI Circular DBS.CO.ITC.BC.No.6/31.02.008/2010-11 (Gopalakrishna Committee Guidelines) / Clause Guidance - Coverage of RBI Circulars. It is a manual preventive control; the auditor's objective is to independently verify that the stated control has been designed and implemented as described, and is operating effectively to bring the high inherent risk down to an acceptable residual level.</t>
  </si>
  <si>
    <t>Confirm that maintain a mapping of applicable RBI circulars/reports to IS Audit scope areas to ensure regulatory requirements are specifically tested.</t>
  </si>
  <si>
    <t>Review the mapping document and verify audit programmes reference applicable RBI circulars.</t>
  </si>
  <si>
    <t>IS Audit Function / Compliance</t>
  </si>
  <si>
    <t>RBI circular-to-audit-scope mapping</t>
  </si>
  <si>
    <t>Manual review and sign-off by IS Audit Function / Compliance, in line with the defined periodicity (Annual); exceptions/deviations escalated for corrective action.</t>
  </si>
  <si>
    <t>CFI-004</t>
  </si>
  <si>
    <t>Cyber Fraud</t>
  </si>
  <si>
    <t>Chapter 6 - Cyber Fraud</t>
  </si>
  <si>
    <t>Guidance 1(a)-(b) - Fraud Risk Ownership</t>
  </si>
  <si>
    <t>Fraud risk management and investigation must be owned by the CEO, Audit Committee of the Board and Special Committee of the Board</t>
  </si>
  <si>
    <t>Ensure senior accountability and oversight of fraud risk</t>
  </si>
  <si>
    <t>Formalise fraud risk governance with clear ownership at CEO, Audit Committee and Special Committee of the Board level; constitute a Special Committee for monitoring frauds of Rs.1 crore and above.</t>
  </si>
  <si>
    <t>This checkpoint tests whether the organisation has addressed the risk of fraud risk management and investigation must be owned by the CEO, Audit Committee of the Board and Special Committee of the Board, as required under RBI Circular DBS.CO.ITC.BC.No.6/31.02.008/2010-11 (Gopalakrishna Committee Guidelines) / Clause Guidance 1(a)-(b) - Fraud Risk Ownership. It is a manual preventive control; the auditor's objective is to independently verify that the stated control has been designed and implemented as described, and is operating effectively to bring the critical inherent risk down to an acceptable residual level.</t>
  </si>
  <si>
    <t>Confirm that formalise fraud risk governance with clear ownership at CEO, Audit Committee and Special Committee of the Board level.</t>
  </si>
  <si>
    <t>Review Special Committee constitution and quarterly review minutes for large-value fraud monitoring.</t>
  </si>
  <si>
    <t>Board / CEO / Audit Committee</t>
  </si>
  <si>
    <t>Special Committee charter; Meeting minutes</t>
  </si>
  <si>
    <t>Manual review and sign-off by Board / CEO / Audit Committee, in line with the defined periodicity (Quarterly); exceptions/deviations escalated for corrective action.</t>
  </si>
  <si>
    <t>Guidance 1(c) - Fraud Risk Management Department</t>
  </si>
  <si>
    <t>An independent, adequately staffed fraud risk management group headed by a senior official (not below GM rank) should own fraud prevention, monitoring, investigation and reporting</t>
  </si>
  <si>
    <t>Ensure dedicated ownership of fraud risk management activities</t>
  </si>
  <si>
    <t>Establish an independent fraud risk management department headed by a senior official (GM rank or above), responsible for fraud prevention, monitoring, investigation, reporting and awareness.</t>
  </si>
  <si>
    <t>This checkpoint tests whether the organisation has addressed the risk of an independent, adequately staffed fraud risk management group headed by a senior official (not below GM rank) should own fraud prevention, monitoring, investigation and reporting, as required under RBI Circular DBS.CO.ITC.BC.No.6/31.02.008/2010-11 (Gopalakrishna Committee Guidelines) / Clause Guidance 1(c) - Fraud Risk Management Department.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</si>
  <si>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an independent fraud risk management department headed by a senior official (GM rank or above), responsible for fraud prevention, monitoring, investigation, reporting and awareness.</t>
  </si>
  <si>
    <t>Verify departmental charter, staffing and seniority of the head of fraud risk management.</t>
  </si>
  <si>
    <t>CEO / HR</t>
  </si>
  <si>
    <t>Org chart; Department charter</t>
  </si>
  <si>
    <t>Manual review and sign-off by CEO / HR, in line with the defined periodicity (One-time / On change); exceptions/deviations escalated for corrective action.</t>
  </si>
  <si>
    <t>Guidance 1(d) - Fraud Review Councils</t>
  </si>
  <si>
    <t>Fraud review councils should be set up within business groups, meeting quarterly to review fraud trends</t>
  </si>
  <si>
    <t>Ensure business-level ownership of fraud trend monitoring and prevention</t>
  </si>
  <si>
    <t>Constitute fraud review councils per business group (comprising business, fraud risk, operations and IT heads) meeting quarterly to review fraud trends and preventive measures.</t>
  </si>
  <si>
    <t>This checkpoint tests whether the organisation has addressed the risk of fraud review councils should be set up within business groups, meeting quarterly to review fraud trends, as required under RBI Circular DBS.CO.ITC.BC.No.6/31.02.008/2010-11 (Gopalakrishna Committee Guidelines) / Clause Guidance 1(d) - Fraud Review Councils. It is a manual detective control; the auditor's objective is to independently verify that the stated control has been designed and implemented as described, and is operating effectively to bring the medium inherent risk down to an acceptable residual level.</t>
  </si>
  <si>
    <t>Confirm that constitute fraud review councils per business group (comprising business, fraud risk, operations and IT heads) meeting quarterly to review fraud trends and preventive measures.</t>
  </si>
  <si>
    <t>Review fraud review council meeting minutes for quarterly frequency and reporting to Special Committee.</t>
  </si>
  <si>
    <t>Business Unit Heads / Fraud Risk Management</t>
  </si>
  <si>
    <t>Fraud review council minutes</t>
  </si>
  <si>
    <t>Manual review and sign-off by Business Unit Heads / Fraud Risk Management, in line with the defined periodicity (Quarterly); exceptions/deviations escalated for corrective action.</t>
  </si>
  <si>
    <t>Guidance 2(i)(a) - Fraud Vulnerability Assessments</t>
  </si>
  <si>
    <t>Fraud vulnerability assessments, including mystery shopping, should be undertaken across the bank's channels and processes</t>
  </si>
  <si>
    <t>Proactively identify and remediate fraud control gaps</t>
  </si>
  <si>
    <t>Conduct periodic fraud vulnerability assessments across business, operations and channels (branch, internet, ATM, phone banking); use mystery shopping to test control efficacy.</t>
  </si>
  <si>
    <t>This checkpoint tests whether the organisation has addressed the risk of fraud vulnerability assessments, including mystery shopping, should be undertaken across the bank's channels and processes, as required under RBI Circular DBS.CO.ITC.BC.No.6/31.02.008/2010-11 (Gopalakrishna Committee Guidelines) / Clause Guidance 2(i)(a) - Fraud Vulnerability Assessments. It is a manual detective control; the auditor's objective is to independently verify that the stated control has been designed and implemented as described, and is operating effectively to bring the high inherent risk down to an acceptable residual level.</t>
  </si>
  <si>
    <t>Confirm that conduct periodic fraud vulnerability assessments across business, operations and channels (branch, internet, ATM, phone banking).</t>
  </si>
  <si>
    <t>Review vulnerability assessment reports and mystery shopping results for remediation follow-up.</t>
  </si>
  <si>
    <t>Fraud Risk Management</t>
  </si>
  <si>
    <t>Vulnerability assessment reports; Mystery shopping results</t>
  </si>
  <si>
    <t>Manual review and sign-off by Fraud Risk Management, in line with the defined periodicity (Annual); exceptions/deviations escalated for corrective action.</t>
  </si>
  <si>
    <t>Guidance 2(i)(b)-(c) - New Product Review &amp; Fraud Loss Limits</t>
  </si>
  <si>
    <t>New products/processes require fraud risk review before launch, and fraud-loss limits should be set and monitored</t>
  </si>
  <si>
    <t>Prevent introduction of products with unmitigated fraud vulnerabilities</t>
  </si>
  <si>
    <t>Require fraud risk management/compliance/audit sign-off before launch of new products or processes; establish and monitor fraud-loss limits, reviewing at 90% utilisation.</t>
  </si>
  <si>
    <t>This checkpoint tests whether the organisation has addressed the risk of new products/processes require fraud risk review before launch, and fraud-loss limits should be set and monitored, as required under RBI Circular DBS.CO.ITC.BC.No.6/31.02.008/2010-11 (Gopalakrishna Committee Guidelines) / Clause Guidance 2(i)(b)-(c) - New Product Review &amp; Fraud Loss Limits. It is a manual preventive control; the auditor's objective is to independently verify that the stated control has been designed and implemented as described, and is operating effectively to bring the high inherent risk down to an acceptable residual level.</t>
  </si>
  <si>
    <t>Confirm that require fraud risk management/compliance/audit sign-off before launch of new products or processes.</t>
  </si>
  <si>
    <t>Sample new product approvals for fraud risk sign-off; review fraud-loss limit monitoring reports.</t>
  </si>
  <si>
    <t>Product Governance / Fraud Risk Management</t>
  </si>
  <si>
    <t>Per launch / Ongoing</t>
  </si>
  <si>
    <t>New product approval records; Fraud loss limit monitoring report</t>
  </si>
  <si>
    <t>Manual review and sign-off by Product Governance / Fraud Risk Management, in line with the defined periodicity (Per launch / Ongoing); exceptions/deviations escalated for corrective action.</t>
  </si>
  <si>
    <t>Guidance 2(i)(d) - Root Cause Analysis</t>
  </si>
  <si>
    <t>Fraud cases above defined thresholds or with unique modus operandi should be reviewed for root cause and process redesign</t>
  </si>
  <si>
    <t>Prevent recurrence of similar fraud incidents</t>
  </si>
  <si>
    <t>Conduct root cause analysis for fraud cases above Rs.10 lakh or with novel modus operandi; use findings to redesign products/processes to prevent recurrence.</t>
  </si>
  <si>
    <t>This checkpoint tests whether the organisation has addressed the risk of fraud cases above defined thresholds or with unique modus operandi should be reviewed for root cause and process redesign, as required under RBI Circular DBS.CO.ITC.BC.No.6/31.02.008/2010-11 (Gopalakrishna Committee Guidelines) / Clause Guidance 2(i)(d) - Root Cause Analysis. It is a manual corrective control; the auditor's objective is to independently verify that the stated control has been designed and implemented as described, and is operating effectively to bring the high inherent risk down to an acceptable residual level.</t>
  </si>
  <si>
    <t>Confirm that conduct root cause analysis for fraud cases above Rs.10 lakh or with novel modus operandi.</t>
  </si>
  <si>
    <t>Sample large fraud cases and verify root cause analysis was performed and acted upon.</t>
  </si>
  <si>
    <t>Root cause analysis reports</t>
  </si>
  <si>
    <t>Manual review and sign-off by Fraud Risk Management, in line with the defined periodicity (Event-driven); exceptions/deviations escalated for corrective action.</t>
  </si>
  <si>
    <t>Guidance 2(i)(f) - KYC &amp; Know-Your-Employee/Vendor</t>
  </si>
  <si>
    <t>Strong KYC and due diligence procedures for customers, employees and vendors should be implemented as fraud prevention pillars</t>
  </si>
  <si>
    <t>Prevent onboarding of individuals/entities with fraudulent intent</t>
  </si>
  <si>
    <t>Implement robust KYC procedures for customers and due diligence procedures for employees/vendors prior to onboarding.</t>
  </si>
  <si>
    <t>This checkpoint tests whether the organisation has addressed the risk of strong KYC and due diligence procedures for customers, employees and vendors should be implemented as fraud prevention pillars, as required under RBI Circular DBS.CO.ITC.BC.No.6/31.02.008/2010-11 (Gopalakrishna Committee Guidelines) / Clause Guidance 2(i)(f) - KYC &amp; Know-Your-Employee/Vendor. It is a manual preventive control; the auditor's objective is to independently verify that the stated control has been designed and implemented as described, and is operating effectively to bring the high inherent risk down to an acceptable residual level.</t>
  </si>
  <si>
    <t>Confirm that implement robust KYC procedures for customers and due diligence procedures for employees/vendors prior to onboarding.</t>
  </si>
  <si>
    <t>Sample customer, employee and vendor onboarding records for KYC/due diligence completion.</t>
  </si>
  <si>
    <t>Compliance / HR / Procurement</t>
  </si>
  <si>
    <t>KYC records; Employee/vendor due diligence records</t>
  </si>
  <si>
    <t>Manual review and sign-off by Compliance / HR / Procurement, in line with the defined periodicity (Ongoing); exceptions/deviations escalated for corrective action.</t>
  </si>
  <si>
    <t>Guidance (ii) - Transaction Monitoring Unit</t>
  </si>
  <si>
    <t>A transaction monitoring unit within the fraud risk management group should monitor transactions for early fraud detection using automated systems</t>
  </si>
  <si>
    <t>Enable early detection of fraudulent transactions</t>
  </si>
  <si>
    <t>Establish a transaction monitoring unit using automated statistical/analytics-based fraud detection systems to identify suspicious transactions and trigger alerts.</t>
  </si>
  <si>
    <t>This checkpoint tests whether the organisation has addressed the risk of a transaction monitoring unit within the fraud risk management group should monitor transactions for early fraud detection using automated systems, as required under RBI Circular DBS.CO.ITC.BC.No.6/31.02.008/2010-11 (Gopalakrishna Committee Guidelines) / Clause Guidance (ii) - Transaction Monitoring Unit. It is a auto detective control; the auditor's objective is to independently verify that the stated control has been designed and implemented as described, and is operating effectively to bring the high inherent risk down to an acceptable residual level.</t>
  </si>
  <si>
    <t>Confirm that establish a transaction monitoring unit using automated statistical/analytics-based fraud detection systems to identify suspicious transactions and trigger alerts.</t>
  </si>
  <si>
    <t>Review transaction monitoring alert logs and evidence of investigation of flagged transactions.</t>
  </si>
  <si>
    <t>Fraud Risk Management / IT</t>
  </si>
  <si>
    <t>Transaction monitoring system logs; Alert reports</t>
  </si>
  <si>
    <t>System-generated alerts and reports are monitored by Fraud Risk Management / IT, in line with the defined periodicity (Ongoing); exceptions are escalated for corrective action.</t>
  </si>
  <si>
    <t>Guidance (iii) - Fraud Investigation Process</t>
  </si>
  <si>
    <t>Suspected fraud cases should be investigated following a prescribed procedure within a specified timeline</t>
  </si>
  <si>
    <t>Ensure fraud cases are investigated thoroughly and consistently</t>
  </si>
  <si>
    <t>Implement a documented fraud investigation procedure with defined timelines, involving legal/audit support as needed, and referral to law enforcement where appropriate.</t>
  </si>
  <si>
    <t>This checkpoint tests whether the organisation has addressed the risk of suspected fraud cases should be investigated following a prescribed procedure within a specified timeline, as required under RBI Circular DBS.CO.ITC.BC.No.6/31.02.008/2010-11 (Gopalakrishna Committee Guidelines) / Clause Guidance (iii) - Fraud Investigation Process. It is a manual corrective control; the auditor's objective is to independently verify that the stated control has been designed and implemented as described, and is operating effectively to bring the high inherent risk down to an acceptable residual level.</t>
  </si>
  <si>
    <t>Confirm that implement a documented fraud investigation procedure with defined timelines, involving legal/audit support as needed, and referral to law enforcement where appropriate.</t>
  </si>
  <si>
    <t>Sample investigation case files for adherence to procedure and timeline.</t>
  </si>
  <si>
    <t>Fraud Risk Management / Legal</t>
  </si>
  <si>
    <t>Investigation reports</t>
  </si>
  <si>
    <t>Manual review and sign-off by Fraud Risk Management / Legal, in line with the defined periodicity (Event-driven); exceptions/deviations escalated for corrective action.</t>
  </si>
  <si>
    <t>Guidance (iv) - Fraud Reporting to RBI</t>
  </si>
  <si>
    <t>Frauds of Rs.1 lakh and above (including electronic channel/card frauds) must be reported to RBI per prescribed guidelines</t>
  </si>
  <si>
    <t>Ensure regulatory fraud reporting obligations are met</t>
  </si>
  <si>
    <t>Implement a fraud reporting process to identify and report to RBI all frauds of Rs.1 lakh and above, including electronic channel and card frauds, within prescribed timelines.</t>
  </si>
  <si>
    <t>This checkpoint tests whether the organisation has addressed the risk of frauds of Rs.1 lakh and above (including electronic channel/card frauds) must be reported to RBI per prescribed guidelines, as required under RBI Circular DBS.CO.ITC.BC.No.6/31.02.008/2010-11 (Gopalakrishna Committee Guidelines) / Clause Guidance (iv) - Fraud Reporting to RBI. It is a manual preventive control; the auditor's objective is to independently verify that the stated control has been designed and implemented as described, and is operating effectively to bring the critical inherent risk down to an acceptable residual level.</t>
  </si>
  <si>
    <t>Confirm that implement a fraud reporting process to identify and report to RBI all frauds of Rs.1 lakh and above, including electronic channel and card frauds, within prescribed timelines.</t>
  </si>
  <si>
    <t>Sample fraud cases meeting the threshold and verify timely RBI reporting.</t>
  </si>
  <si>
    <t>Compliance / Fraud Risk Management</t>
  </si>
  <si>
    <t>RBI fraud reporting records</t>
  </si>
  <si>
    <t>Manual review and sign-off by Compliance / Fraud Risk Management, in line with the defined periodicity (Event-driven); exceptions/deviations escalated for corrective action.</t>
  </si>
  <si>
    <t>Guidance (v) - Customer Awareness on Fraud</t>
  </si>
  <si>
    <t>Customer awareness on fraud prevention should be continuously promoted through multiple channels</t>
  </si>
  <si>
    <t>Reduce customer susceptibility to fraud through awareness</t>
  </si>
  <si>
    <t>Run continuous customer fraud-awareness communication (statements, SMS, website, branch collateral) and periodically review effectiveness.</t>
  </si>
  <si>
    <t>This checkpoint tests whether the organisation has addressed the risk of customer awareness on fraud prevention should be continuously promoted through multiple channels, as required under RBI Circular DBS.CO.ITC.BC.No.6/31.02.008/2010-11 (Gopalakrishna Committee Guidelines) / Clause Guidance (v) - Customer Awareness on Fraud. It is a manual preventive control; the auditor's objective is to independently verify that the stated control has been designed and implemented as described, and is operating effectively to bring the medium inherent risk down to an acceptable residual level.</t>
  </si>
  <si>
    <t>Confirm that run continuous customer fraud-awareness communication (statements, SMS, website, branch collateral) and periodically review effectiveness.</t>
  </si>
  <si>
    <t>Review sample awareness communications and periodic effectiveness assessments.</t>
  </si>
  <si>
    <t>Marketing / Fraud Risk Management</t>
  </si>
  <si>
    <t>Awareness campaign records; Effectiveness review</t>
  </si>
  <si>
    <t>Manual review and sign-off by Marketing / Fraud Risk Management, in line with the defined periodicity (Ongoing); exceptions/deviations escalated for corrective action.</t>
  </si>
  <si>
    <t>Guidance (vi) - Employee Awareness &amp; Training on Fraud</t>
  </si>
  <si>
    <t>Employee training and awareness programmes on fraud prevention should be conducted regularly</t>
  </si>
  <si>
    <t>Build employee capability to identify and prevent fraud</t>
  </si>
  <si>
    <t>Conduct regular employee fraud-awareness training (induction and periodic) covering fraud trends, prevention practices and reporting channels.</t>
  </si>
  <si>
    <t>This checkpoint tests whether the organisation has addressed the risk of employee training and awareness programmes on fraud prevention should be conducted regularly, as required under RBI Circular DBS.CO.ITC.BC.No.6/31.02.008/2010-11 (Gopalakrishna Committee Guidelines) / Clause Guidance (vi) - Employee Awareness &amp; Training on Fraud. It is a manual preventive control; the auditor's objective is to independently verify that the stated control has been designed and implemented as described, and is operating effectively to bring the medium inherent risk down to an acceptable residual level.</t>
  </si>
  <si>
    <t>Confirm that conduct regular employee fraud-awareness training (induction and periodic) covering fraud trends, prevention practices and reporting channels.</t>
  </si>
  <si>
    <t>Review training completion records and sample training content for relevance and currency.</t>
  </si>
  <si>
    <t>HR / Fraud Risk Management</t>
  </si>
  <si>
    <t>Training records; Training content</t>
  </si>
  <si>
    <t>Manual review and sign-off by HR / Fraud Risk Management, in line with the defined periodicity (Annual / On onboarding); exceptions/deviations escalated for corrective action.</t>
  </si>
  <si>
    <t>BCM-002</t>
  </si>
  <si>
    <t>Business Continuity Planning</t>
  </si>
  <si>
    <t>Chapter 7 - Business Continuity Planning</t>
  </si>
  <si>
    <t>Guidance - Board/Senior Management BCP Oversight</t>
  </si>
  <si>
    <t>Board has ultimate responsibility for BCP; approves BCP policy and reviews adequacy/testing results at least annually</t>
  </si>
  <si>
    <t>Ensure Board-level accountability for business continuity preparedness</t>
  </si>
  <si>
    <t>Ensure Board approves the Business Continuity Policy, and reviews BCP adequacy, test results and independent review findings at least annually.</t>
  </si>
  <si>
    <t>This checkpoint tests whether the organisation has addressed the risk of board has ultimate responsibility for BCP; approves BCP policy and reviews adequacy/testing results at least annually, as required under RBI Circular DBS.CO.ITC.BC.No.6/31.02.008/2010-11 (Gopalakrishna Committee Guidelines) / Clause Guidance - Board/Senior Management BCP Oversight. It is a manual preventive control; the auditor's objective is to independently verify that the stated control has been designed and implemented as described, and is operating effectively to bring the high inherent risk down to an acceptable residual level.</t>
  </si>
  <si>
    <t>Confirm that ensure Board approves the Business Continuity Policy, and reviews BCP adequacy, test results and independent review findings at least annually.</t>
  </si>
  <si>
    <t>Review Board minutes for BCP policy approval and annual review of test results.</t>
  </si>
  <si>
    <t>Board-approved BCP policy; Annual review minutes</t>
  </si>
  <si>
    <t>Para 1.1 - BCP Head/Coordinator</t>
  </si>
  <si>
    <t>A senior official should be designated as BCP Head/Coordinator responsible for enterprise-wide BCP development and maintenance</t>
  </si>
  <si>
    <t>Ensure dedicated ownership of business continuity planning</t>
  </si>
  <si>
    <t>Appoint a senior official as BCP Head/Coordinator, responsible for enterprise-wide BCP, prioritisation of critical operations, and periodic updates based on testing/audit findings.</t>
  </si>
  <si>
    <t>This checkpoint tests whether the organisation has addressed the risk of a senior official should be designated as BCP Head/Coordinator responsible for enterprise-wide BCP development and maintenance, as required under RBI Circular DBS.CO.ITC.BC.No.6/31.02.008/2010-11 (Gopalakrishna Committee Guidelines) / Clause Para 1.1 - BCP Head/Coordinator. It is a manual preventive control; the auditor's objective is to independently verify that the stated control has been designed and implemented as described, and is operating effectively to bring the high inherent risk down to an acceptable residual level.</t>
  </si>
  <si>
    <t>Confirm that appoint a senior official as BCP Head/Coordinator, responsible for enterprise-wide BCP, prioritisation of critical operations, and periodic updates based on testing/audit findings.</t>
  </si>
  <si>
    <t>Verify appointment letter and review evidence of BCP Head's activities against responsibilities.</t>
  </si>
  <si>
    <t>Board / CEO</t>
  </si>
  <si>
    <t>BCP Head appointment letter</t>
  </si>
  <si>
    <t>Manual review and sign-off by Board / CEO, in line with the defined periodicity (One-time / On change); exceptions/deviations escalated for corrective action.</t>
  </si>
  <si>
    <t>Para 1.2 - BCP Committee/Crisis Management Team</t>
  </si>
  <si>
    <t>A BCP Committee or Crisis Management Team should be established to oversee BCP activity</t>
  </si>
  <si>
    <t>Ensure cross-functional oversight and crisis decision-making capability</t>
  </si>
  <si>
    <t>Constitute a BCP Committee/Crisis Management Team with defined membership and terms of reference, meeting periodically to oversee BCP activities.</t>
  </si>
  <si>
    <t>This checkpoint tests whether the organisation has addressed the risk of a BCP Committee or Crisis Management Team should be established to oversee BCP activity, as required under RBI Circular DBS.CO.ITC.BC.No.6/31.02.008/2010-11 (Gopalakrishna Committee Guidelines) / Clause Para 1.2 - BCP Committee/Crisis Management Team. It is a manual preventive control; the auditor's objective is to independently verify that the stated control has been designed and implemented as described, and is operating effectively to bring the high inherent risk down to an acceptable residual level.</t>
  </si>
  <si>
    <t>Confirm that constitute a BCP Committee/Crisis Management Team with defined membership and terms of reference, meeting periodically to oversee BCP activities.</t>
  </si>
  <si>
    <t>Review BCP Committee charter and meeting minutes for periodic oversight activity.</t>
  </si>
  <si>
    <t>BCP Head / Senior Management</t>
  </si>
  <si>
    <t>BCP Committee charter; Meeting minutes</t>
  </si>
  <si>
    <t>Manual review and sign-off by BCP Head / Senior Management, in line with the defined periodicity (Quarterly); exceptions/deviations escalated for corrective action.</t>
  </si>
  <si>
    <t>Para 1.3 - BCP Teams</t>
  </si>
  <si>
    <t>Various BCP teams (e.g. recovery, communication, coordination) should be defined with roles and authorities</t>
  </si>
  <si>
    <t>Ensure clear operational roles during a business continuity event</t>
  </si>
  <si>
    <t>Define BCP sub-teams (recovery, communication, coordination, etc.) with documented roles, authorities and training requirements.</t>
  </si>
  <si>
    <t>This checkpoint tests whether the organisation has addressed the risk of various BCP teams (e.g. recovery, communication, coordination) should be defined with roles and authorities, as required under RBI Circular DBS.CO.ITC.BC.No.6/31.02.008/2010-11 (Gopalakrishna Committee Guidelines) / Clause Para 1.3 - BCP Teams. It is a manual preventive control; the auditor's objective is to independently verify that the stated control has been designed and implemented as described, and is operating effectively to bring the medium inherent risk down to an acceptable residual level.</t>
  </si>
  <si>
    <t>Confirm that define BCP sub-teams (recovery, communication, coordination, etc.) with documented roles, authorities and training requirements.</t>
  </si>
  <si>
    <t>Review BCP team structure documentation for defined roles and evidence of training.</t>
  </si>
  <si>
    <t>BCP Head</t>
  </si>
  <si>
    <t>BCP team structure document</t>
  </si>
  <si>
    <t>Manual review and sign-off by BCP Head, in line with the defined periodicity (One-time / On change); exceptions/deviations escalated for corrective action.</t>
  </si>
  <si>
    <t>Phase 1 - Business Impact Analysis</t>
  </si>
  <si>
    <t>BCP methodology must include a Business Impact Analysis identifying critical processes and recovery time/point objectives</t>
  </si>
  <si>
    <t>Identify critical processes and recovery objectives to inform BCP design</t>
  </si>
  <si>
    <t>Conduct Business Impact Analysis (BIA) to identify critical business processes, dependencies, and define Recovery Time Objectives (RTO) and Recovery Point Objectives (RPO).</t>
  </si>
  <si>
    <t>This checkpoint tests whether the organisation has addressed the risk of bCP methodology must include a Business Impact Analysis identifying critical processes and recovery time/point objectives, as required under RBI Circular DBS.CO.ITC.BC.No.6/31.02.008/2010-11 (Gopalakrishna Committee Guidelines) / Clause Phase 1 - Business Impact Analysis. It is a manual preventive control; the auditor's objective is to independently verify that the stated control has been designed and implemented as described, and is operating effectively to bring the high inherent risk down to an acceptable residual level.</t>
  </si>
  <si>
    <t>Confirm that conduct Business Impact Analysis (BIA) to identify critical business processes, dependencies, and define Recovery Time Objectives (RTO) and Recovery Point Objectives (RPO).</t>
  </si>
  <si>
    <t>Review BIA report for coverage of critical processes and documented RTO/RPO.</t>
  </si>
  <si>
    <t>BCP Head / Business Units</t>
  </si>
  <si>
    <t>BIA report</t>
  </si>
  <si>
    <t>Manual review and sign-off by BCP Head / Business Units, in line with the defined periodicity (Annual); exceptions/deviations escalated for corrective action.</t>
  </si>
  <si>
    <t>Phase 2 - Risk Assessment</t>
  </si>
  <si>
    <t>BCP methodology must include a risk assessment identifying threats to critical business processes</t>
  </si>
  <si>
    <t>Identify and prioritise threats to business continuity</t>
  </si>
  <si>
    <t>Conduct risk assessment identifying threats and vulnerabilities to critical business processes and supporting infrastructure, feeding into BCP strategy selection.</t>
  </si>
  <si>
    <t>This checkpoint tests whether the organisation has addressed the risk of bCP methodology must include a risk assessment identifying threats to critical business processes, as required under RBI Circular DBS.CO.ITC.BC.No.6/31.02.008/2010-11 (Gopalakrishna Committee Guidelines) / Clause Phase 2 - Risk Assessment. It is a manual preventive control; the auditor's objective is to independently verify that the stated control has been designed and implemented as described, and is operating effectively to bring the high inherent risk down to an acceptable residual level.</t>
  </si>
  <si>
    <t>Confirm that conduct risk assessment identifying threats and vulnerabilities to critical business processes and supporting infrastructure, feeding into BCP strategy selection.</t>
  </si>
  <si>
    <t>Review risk assessment report and linkage to BCP strategy decisions.</t>
  </si>
  <si>
    <t>BCP Head / Risk Management</t>
  </si>
  <si>
    <t>BCP risk assessment report</t>
  </si>
  <si>
    <t>Manual review and sign-off by BCP Head / Risk Management, in line with the defined periodicity (Annual); exceptions/deviations escalated for corrective action.</t>
  </si>
  <si>
    <t>Phase 3 - Recovery Strategy Selection</t>
  </si>
  <si>
    <t>BCP methodology must determine appropriate recovery strategy choices based on BIA and risk assessment outcomes</t>
  </si>
  <si>
    <t>Ensure recovery strategies are proportionate to business criticality</t>
  </si>
  <si>
    <t>Evaluate and select recovery strategies (e.g. cold/warm/hot site, alternate processing) appropriate to the criticality and RTO/RPO of each business process.</t>
  </si>
  <si>
    <t>This checkpoint tests whether the organisation has addressed the risk of bCP methodology must determine appropriate recovery strategy choices based on BIA and risk assessment outcomes, as required under RBI Circular DBS.CO.ITC.BC.No.6/31.02.008/2010-11 (Gopalakrishna Committee Guidelines) / Clause Phase 3 - Recovery Strategy Selection. It is a manual preventive control; the auditor's objective is to independently verify that the stated control has been designed and implemented as described, and is operating effectively to bring the high inherent risk down to an acceptable residual level.</t>
  </si>
  <si>
    <t>Confirm that evaluate and select recovery strategies (e.g. cold/warm/hot site, alternate processing) appropriate to the criticality and RTO/RPO of each business process.</t>
  </si>
  <si>
    <t>Review recovery strategy documentation and rationale for strategy selection per critical process.</t>
  </si>
  <si>
    <t>BCP Head / IT Infrastructure</t>
  </si>
  <si>
    <t>Recovery strategy document</t>
  </si>
  <si>
    <t>Manual review and sign-off by BCP Head / IT Infrastructure, in line with the defined periodicity (Annual / On change); exceptions/deviations escalated for corrective action.</t>
  </si>
  <si>
    <t>Phase 4 - BCP Development &amp; Implementation</t>
  </si>
  <si>
    <t>The Business Continuity Plan should be developed and implemented covering people, process and technology continuity</t>
  </si>
  <si>
    <t>Ensure a comprehensive, implementable continuity plan exists</t>
  </si>
  <si>
    <t>Develop and implement a documented BCP covering people, process and technology recovery procedures, aligned to BIA and risk assessment outcomes; obtain sign-off.</t>
  </si>
  <si>
    <t>This checkpoint tests whether the organisation has addressed the risk of the Business Continuity Plan should be developed and implemented covering people, process and technology continuity, as required under RBI Circular DBS.CO.ITC.BC.No.6/31.02.008/2010-11 (Gopalakrishna Committee Guidelines) / Clause Phase 4 - BCP Development &amp; Implementation. It is a manual preventive control; the auditor's objective is to independently verify that the stated control has been designed and implemented as described, and is operating effectively to bring the high inherent risk down to an acceptable residual level.</t>
  </si>
  <si>
    <t>Confirm that develop and implement a documented BCP covering people, process and technology recovery procedures, aligned to BIA and risk assessment outcomes.</t>
  </si>
  <si>
    <t>Review BCP document for completeness against BIA/risk assessment outcomes and sign-off evidence.</t>
  </si>
  <si>
    <t>Business Continuity Plan document</t>
  </si>
  <si>
    <t>Guidance - BCP Testing</t>
  </si>
  <si>
    <t>BCP should be regularly tested on an enterprise-wide basis using appropriate testing techniques</t>
  </si>
  <si>
    <t>Validate the effectiveness of the business continuity plan</t>
  </si>
  <si>
    <t>Conduct regular BCP testing (desktop walkthrough, simulation, full failover) covering enterprise-wide scope; document results and remediate gaps.</t>
  </si>
  <si>
    <t>This checkpoint tests whether the organisation has addressed the risk of bCP should be regularly tested on an enterprise-wide basis using appropriate testing techniques, as required under RBI Circular DBS.CO.ITC.BC.No.6/31.02.008/2010-11 (Gopalakrishna Committee Guidelines) / Clause Guidance - BCP Testing. It is a manual detective control; the auditor's objective is to independently verify that the stated control has been designed and implemented as described, and is operating effectively to bring the high inherent risk down to an acceptable residual level.</t>
  </si>
  <si>
    <t>Confirm that conduct regular BCP testing (desktop walkthrough, simulation, full failover) covering enterprise-wide scope.</t>
  </si>
  <si>
    <t>Review BCP test reports for scope, frequency and closure of identified gaps.</t>
  </si>
  <si>
    <t>BCP test plans; Test results/reports</t>
  </si>
  <si>
    <t>Manual review and sign-off by BCP Head / IT Infrastructure, in line with the defined periodicity (Annual); exceptions/deviations escalated for corrective action.</t>
  </si>
  <si>
    <t>Guidance 8.1-8.2 - DC/DR Site Strategy</t>
  </si>
  <si>
    <t>Banks should select and implement an appropriate DC/DR site strategy (cold/warm/hot) addressing implementation issues and challenges</t>
  </si>
  <si>
    <t>Ensure adequate disaster recovery capability for critical systems</t>
  </si>
  <si>
    <t>Select and implement a DC/DR site strategy (cold/warm/hot site as appropriate to criticality) and address known implementation challenges (e.g. data synchronisation, network readiness).</t>
  </si>
  <si>
    <t>This checkpoint tests whether the organisation has addressed the risk of banks should select and implement an appropriate DC/DR site strategy (cold/warm/hot) addressing implementation issues and challenges, as required under RBI Circular DBS.CO.ITC.BC.No.6/31.02.008/2010-11 (Gopalakrishna Committee Guidelines) / Clause Guidance 8.1-8.2 - DC/DR Site Strategy. It is a manual preventive control; the auditor's objective is to independently verify that the stated control has been designed and implemented as described, and is operating effectively to bring the high inherent risk down to an acceptable residual level.</t>
  </si>
  <si>
    <t>Confirm that select and implement a DC/DR site strategy (cold/warm/hot site as appropriate to criticality) and address known implementation challenges (e.g. data synchronisation, network readiness).</t>
  </si>
  <si>
    <t>Review DC/DR site documentation and periodic DR test/failover reports.</t>
  </si>
  <si>
    <t>IT Infrastructure / BCP Head</t>
  </si>
  <si>
    <t>DC/DR site documentation; DR test reports</t>
  </si>
  <si>
    <t>Manual review and sign-off by IT Infrastructure / BCP Head, in line with the defined periodicity (Annual); exceptions/deviations escalated for corrective action.</t>
  </si>
  <si>
    <t>Guidance - Data Recovery Strategies</t>
  </si>
  <si>
    <t>A range of data protection/recovery strategies should be adopted commensurate with criticality of data</t>
  </si>
  <si>
    <t>Ensure critical data can be recovered within defined objectives</t>
  </si>
  <si>
    <t>Implement appropriate data backup and recovery strategies (e.g. replication, periodic backups, offsite storage) commensurate with data criticality; test recoverability periodically.</t>
  </si>
  <si>
    <t>This checkpoint tests whether the organisation has addressed the risk of a range of data protection/recovery strategies should be adopted commensurate with criticality of data, as required under RBI Circular DBS.CO.ITC.BC.No.6/31.02.008/2010-11 (Gopalakrishna Committee Guidelines) / Clause Guidance - Data Recovery Strategies. It is a semi-auto preventive control; the auditor's objective is to independently verify that the stated control has been designed and implemented as described, and is operating effectively to bring the high inherent risk down to an acceptable residual level.</t>
  </si>
  <si>
    <t>Confirm that implement appropriate data backup and recovery strategies (e.g. replication, periodic backups, offsite storage) commensurate with data criticality.</t>
  </si>
  <si>
    <t>Sample backup logs and periodic recovery/restoration test results.</t>
  </si>
  <si>
    <t>Backup logs; Recovery test reports</t>
  </si>
  <si>
    <t>Guidance - Role of HR in BCP</t>
  </si>
  <si>
    <t>HR should be involved in the BCP context, covering welfare, communication and succession aspects during a crisis</t>
  </si>
  <si>
    <t>Ensure people-related continuity risks are addressed</t>
  </si>
  <si>
    <t>Define HR's role in BCP, covering employee welfare, emergency communication, and succession/backup staffing for critical roles.</t>
  </si>
  <si>
    <t>This checkpoint tests whether the organisation has addressed the risk of hR should be involved in the BCP context, covering welfare, communication and succession aspects during a crisis, as required under RBI Circular DBS.CO.ITC.BC.No.6/31.02.008/2010-11 (Gopalakrishna Committee Guidelines) / Clause Guidance - Role of HR in BCP. It is a manual preventive control; the auditor's objective is to independently verify that the stated control has been designed and implemented as described, and is operating effectively to bring the medium inherent risk down to an acceptable residual level.</t>
  </si>
  <si>
    <t>Confirm that define HR's role in BCP, covering employee welfare, emergency communication, and succession/backup staffing for critical roles.</t>
  </si>
  <si>
    <t>Review HR BCP procedures for coverage of welfare, communication and succession planning.</t>
  </si>
  <si>
    <t>HR / BCP Head</t>
  </si>
  <si>
    <t>HR BCP procedures</t>
  </si>
  <si>
    <t>Manual review and sign-off by HR / BCP Head, in line with the defined periodicity (Annual); exceptions/deviations escalated for corrective action.</t>
  </si>
  <si>
    <t>CUP-005</t>
  </si>
  <si>
    <t>Customer Education</t>
  </si>
  <si>
    <t>Chapter 8 - Customer Education</t>
  </si>
  <si>
    <t>Guidance 1 - Board/Senior Management Commitment</t>
  </si>
  <si>
    <t>Board/Senior Management commitment is required for customer education initiatives, including adequate resourcing</t>
  </si>
  <si>
    <t>Ensure sustained organisational commitment to customer education</t>
  </si>
  <si>
    <t>Obtain Board/senior management commitment and budget allocation for ongoing customer fraud-awareness/education initiatives, with periodic effectiveness evaluation.</t>
  </si>
  <si>
    <t>This checkpoint tests whether the organisation has addressed the risk of board/Senior Management commitment is required for customer education initiatives, including adequate resourcing, as required under RBI Circular DBS.CO.ITC.BC.No.6/31.02.008/2010-11 (Gopalakrishna Committee Guidelines) / Clause Guidance 1 - Board/Senior Management Commitment. It is a manual preventive control; the auditor's objective is to independently verify that the stated control has been designed and implemented as described, and is operating effectively to bring the medium inherent risk down to an acceptable residual level.</t>
  </si>
  <si>
    <t>Confirm that obtain Board/senior management commitment and budget allocation for ongoing customer fraud-awareness/education initiatives, with periodic effectiveness evaluation.</t>
  </si>
  <si>
    <t>Review budget approvals and senior management review of programme effectiveness.</t>
  </si>
  <si>
    <t>Budget approval records; Programme review reports</t>
  </si>
  <si>
    <t>Guidance 2 - Working Group / Organisational Structure</t>
  </si>
  <si>
    <t>A working group with key stakeholders should be established to plan, implement and evaluate the awareness programme</t>
  </si>
  <si>
    <t>Ensure coordinated stakeholder involvement in awareness programme delivery</t>
  </si>
  <si>
    <t>Establish a cross-functional working group (marketing, risk, IT, customer service) to plan, implement and evaluate customer awareness initiatives.</t>
  </si>
  <si>
    <t>This checkpoint tests whether the organisation has addressed the risk of a working group with key stakeholders should be established to plan, implement and evaluate the awareness programme, as required under RBI Circular DBS.CO.ITC.BC.No.6/31.02.008/2010-11 (Gopalakrishna Committee Guidelines) / Clause Guidance 2 - Working Group / Organisational Structure. It is a manual preventive control; the auditor's objective is to independently verify that the stated control has been designed and implemented as described, and is operating effectively to bring the medium inherent risk down to an acceptable residual level.</t>
  </si>
  <si>
    <t>Confirm that establish a cross-functional working group (marketing, risk, IT, customer service) to plan, implement and evaluate customer awareness initiatives.</t>
  </si>
  <si>
    <t>Review working group charter and meeting minutes for stakeholder participation.</t>
  </si>
  <si>
    <t>Working group charter; Meeting minutes</t>
  </si>
  <si>
    <t>Manual review and sign-off by Marketing / Fraud Risk Management, in line with the defined periodicity (One-time / On change); exceptions/deviations escalated for corrective action.</t>
  </si>
  <si>
    <t>Guidance 3.a - Planning &amp; Design</t>
  </si>
  <si>
    <t>Awareness programmes should be planned with identified target audience needs, work plan, budget and priorities</t>
  </si>
  <si>
    <t>Ensure awareness programmes are well-planned and resourced</t>
  </si>
  <si>
    <t>Develop a documented awareness programme plan including target audience needs assessment, budget, timelines and milestones; review periodically.</t>
  </si>
  <si>
    <t>This checkpoint tests whether the organisation has addressed the risk of awareness programmes should be planned with identified target audience needs, work plan, budget and priorities, as required under RBI Circular DBS.CO.ITC.BC.No.6/31.02.008/2010-11 (Gopalakrishna Committee Guidelines) / Clause Guidance 3.a - Planning &amp; Design. It is a manual preventive control; the auditor's objective is to independently verify that the stated control has been designed and implemented as described, and is operating effectively to bring the medium inherent risk down to an acceptable residual level.</t>
  </si>
  <si>
    <t>Confirm that develop a documented awareness programme plan including target audience needs assessment, budget, timelines and milestones.</t>
  </si>
  <si>
    <t>Review the awareness programme plan for required elements and periodic review evidence.</t>
  </si>
  <si>
    <t>Awareness programme plan</t>
  </si>
  <si>
    <t>Manual review and sign-off by Marketing / Fraud Risk Management, in line with the defined periodicity (Annual); exceptions/deviations escalated for corrective action.</t>
  </si>
  <si>
    <t>Guidance 3.b - Execution &amp; Management</t>
  </si>
  <si>
    <t>Awareness programme execution should be managed with vendor engagement for content creation and publication where needed</t>
  </si>
  <si>
    <t>Ensure planned awareness activities are delivered as designed</t>
  </si>
  <si>
    <t>Execute the awareness programme per plan, engaging vendors for content creation/publication as needed, and document activities delivered.</t>
  </si>
  <si>
    <t>This checkpoint tests whether the organisation has addressed the risk of awareness programme execution should be managed with vendor engagement for content creation and publication where needed, as required under RBI Circular DBS.CO.ITC.BC.No.6/31.02.008/2010-11 (Gopalakrishna Committee Guidelines) / Clause Guidance 3.b - Execution &amp; Management. It is a manual preventive control; the auditor's objective is to independently verify that the stated control has been designed and implemented as described, and is operating effectively to bring the low inherent risk down to an acceptable residual level.</t>
  </si>
  <si>
    <t>Confirm that execute the awareness programme per plan, engaging vendors for content creation/publication as needed, and document activities delivered.</t>
  </si>
  <si>
    <t>Sample campaign execution records against the approved plan.</t>
  </si>
  <si>
    <t>Marketing</t>
  </si>
  <si>
    <t>Campaign execution records</t>
  </si>
  <si>
    <t>Manual review and sign-off by Marketing, in line with the defined periodicity (Ongoing); exceptions/deviations escalated for corrective action.</t>
  </si>
  <si>
    <t>Guidance 3.c - Evaluation &amp; Course Correction</t>
  </si>
  <si>
    <t>Awareness programme effectiveness should be evaluated through feedback and used for continuous improvement</t>
  </si>
  <si>
    <t>Ensure continuous improvement of customer awareness initiatives</t>
  </si>
  <si>
    <t>Design and implement a feedback mechanism to evaluate awareness programme effectiveness (e.g. baseline metrics, feedback surveys) and use findings to adjust the programme.</t>
  </si>
  <si>
    <t>This checkpoint tests whether the organisation has addressed the risk of awareness programme effectiveness should be evaluated through feedback and used for continuous improvement, as required under RBI Circular DBS.CO.ITC.BC.No.6/31.02.008/2010-11 (Gopalakrishna Committee Guidelines) / Clause Guidance 3.c - Evaluation &amp; Course Correction. It is a manual detective control; the auditor's objective is to independently verify that the stated control has been designed and implemented as described, and is operating effectively to bring the medium inherent risk down to an acceptable residual level.</t>
  </si>
  <si>
    <t>Confirm that design and implement a feedback mechanism to evaluate awareness programme effectiveness (e.g. baseline metrics, feedback surveys) and use findings to adjust the programme.</t>
  </si>
  <si>
    <t>Review effectiveness evaluation reports and evidence of resulting programme adjustments.</t>
  </si>
  <si>
    <t>Effectiveness evaluation report</t>
  </si>
  <si>
    <t>Guidance 3(3) - Target Audience Identification</t>
  </si>
  <si>
    <t>Target audience for awareness programmes should be clearly identified (customers, employees, law enforcement, media)</t>
  </si>
  <si>
    <t>Ensure awareness messaging reaches and resonates with relevant stakeholders</t>
  </si>
  <si>
    <t>Identify and segment target audiences for awareness communication (customers, employees, law enforcement, media) and tailor messaging accordingly.</t>
  </si>
  <si>
    <t>This checkpoint tests whether the organisation has addressed the risk of target audience for awareness programmes should be clearly identified (customers, employees, law enforcement, media), as required under RBI Circular DBS.CO.ITC.BC.No.6/31.02.008/2010-11 (Gopalakrishna Committee Guidelines) / Clause Guidance 3(3) - Target Audience Identification. It is a manual preventive control; the auditor's objective is to independently verify that the stated control has been designed and implemented as described, and is operating effectively to bring the low inherent risk down to an acceptable residual level.</t>
  </si>
  <si>
    <t>Confirm that identify and segment target audiences for awareness communication (customers, employees, law enforcement, media) and tailor messaging accordingly.</t>
  </si>
  <si>
    <t>Review target audience segmentation and sample tailored communications.</t>
  </si>
  <si>
    <t>Target audience segmentation document</t>
  </si>
  <si>
    <t>Manual review and sign-off by Marketing, in line with the defined periodicity (Annual); exceptions/deviations escalated for corrective action.</t>
  </si>
  <si>
    <t>Guidance 3(6)-(7) - Communication Content &amp; Channels</t>
  </si>
  <si>
    <t>Awareness content and channels (publications, SMS, website, statements, collateral) should be defined and utilised</t>
  </si>
  <si>
    <t>Maximise reach and effectiveness of fraud awareness messaging</t>
  </si>
  <si>
    <t>Develop awareness content and deploy across multiple channels (website, SMS, statements, branch/ATM collateral, media) per the communication strategy.</t>
  </si>
  <si>
    <t>This checkpoint tests whether the organisation has addressed the risk of awareness content and channels (publications, SMS, website, statements, collateral) should be defined and utilised, as required under RBI Circular DBS.CO.ITC.BC.No.6/31.02.008/2010-11 (Gopalakrishna Committee Guidelines) / Clause Guidance 3(6)-(7) - Communication Content &amp; Channels. It is a manual preventive control; the auditor's objective is to independently verify that the stated control has been designed and implemented as described, and is operating effectively to bring the medium inherent risk down to an acceptable residual level.</t>
  </si>
  <si>
    <t>Confirm that develop awareness content and deploy across multiple channels (website, SMS, statements, branch/ATM collateral, media) per the communication strategy.</t>
  </si>
  <si>
    <t>Sample communication collateral and verify deployment across defined channels.</t>
  </si>
  <si>
    <t>Communication collateral; Channel deployment records</t>
  </si>
  <si>
    <t>Guidance 3(9) - Research &amp; Analysis</t>
  </si>
  <si>
    <t>Research and analysis should be conducted to inform and measure the awareness programme</t>
  </si>
  <si>
    <t>Ensure awareness programme is evidence-based and impact is measurable</t>
  </si>
  <si>
    <t>Conduct periodic research/analysis (e.g. customer surveys, incident trend analysis) to inform awareness programme content and measure impact.</t>
  </si>
  <si>
    <t>This checkpoint tests whether the organisation has addressed the risk of research and analysis should be conducted to inform and measure the awareness programme, as required under RBI Circular DBS.CO.ITC.BC.No.6/31.02.008/2010-11 (Gopalakrishna Committee Guidelines) / Clause Guidance 3(9) - Research &amp; Analysis. It is a manual detective control; the auditor's objective is to independently verify that the stated control has been designed and implemented as described, and is operating effectively to bring the low inherent risk down to an acceptable residual level.</t>
  </si>
  <si>
    <t>Confirm that conduct periodic research/analysis (e.g. customer surveys, incident trend analysis) to inform awareness programme content and measure impact.</t>
  </si>
  <si>
    <t>Review research/analysis reports and evidence of their use in programme design.</t>
  </si>
  <si>
    <t>Research/analysis reports</t>
  </si>
  <si>
    <t>LEG-009</t>
  </si>
  <si>
    <t>Legal Issues</t>
  </si>
  <si>
    <t>Chapter 9 - Legal Issues</t>
  </si>
  <si>
    <t>Guidance A - Board/Risk Management Committee Legal Risk Oversight</t>
  </si>
  <si>
    <t>Board's Risk Management Committee must ensure legal risks arising from cyber laws are identified, addressed and staffed adequately</t>
  </si>
  <si>
    <t>Ensure Board-level oversight of legal/cyber-law risk</t>
  </si>
  <si>
    <t>Ensure the Risk Management Committee identifies and addresses legal risks arising from cyber laws, with adequately staffed and trained resources.</t>
  </si>
  <si>
    <t>This checkpoint tests whether the organisation has addressed the risk of board's Risk Management Committee must ensure legal risks arising from cyber laws are identified, addressed and staffed adequately, as required under RBI Circular DBS.CO.ITC.BC.No.6/31.02.008/2010-11 (Gopalakrishna Committee Guidelines) / Clause Guidance A - Board/Risk Management Committee Legal Risk Oversight. It is a manual preventive control; the auditor's objective is to independently verify that the stated control has been designed and implemented as described, and is operating effectively to bring the high inherent risk down to an acceptable residual level.</t>
  </si>
  <si>
    <t>Confirm that ensure the Risk Management Committee identifies and addresses legal risks arising from cyber laws, with adequately staffed and trained resources.</t>
  </si>
  <si>
    <t>Review RMC minutes for legal risk discussion and staffing adequacy assessment.</t>
  </si>
  <si>
    <t>Board / Risk Management Committee</t>
  </si>
  <si>
    <t>RMC minutes; Legal risk register</t>
  </si>
  <si>
    <t>Manual review and sign-off by Board / Risk Management Committee, in line with the defined periodicity (Annual); exceptions/deviations escalated for corrective action.</t>
  </si>
  <si>
    <t>Guidance A - Operational Risk Group</t>
  </si>
  <si>
    <t>Legal risks arising from cyber laws must be incorporated into the operational risk management framework</t>
  </si>
  <si>
    <t>Ensure legal risk is systematically captured within enterprise risk management</t>
  </si>
  <si>
    <t>Incorporate cyber-law-related legal risks into the bank's operational risk management framework, with mitigation steps agreed in consultation with the legal function.</t>
  </si>
  <si>
    <t>This checkpoint tests whether the organisation has addressed the risk of legal risks arising from cyber laws must be incorporated into the operational risk management framework, as required under RBI Circular DBS.CO.ITC.BC.No.6/31.02.008/2010-11 (Gopalakrishna Committee Guidelines) / Clause Guidance A - Operational Risk Group. It is a manual preventive control; the auditor's objective is to independently verify that the stated control has been designed and implemented as described, and is operating effectively to bring the high inherent risk down to an acceptable residual level.</t>
  </si>
  <si>
    <t>Confirm that incorporate cyber-law-related legal risks into the bank's operational risk management framework, with mitigation steps agreed in consultation with the legal function.</t>
  </si>
  <si>
    <t>Review operational risk framework for explicit coverage of cyber-law legal risk.</t>
  </si>
  <si>
    <t>Operational Risk Group / Legal</t>
  </si>
  <si>
    <t>Operational risk framework document</t>
  </si>
  <si>
    <t>Manual review and sign-off by Operational Risk Group / Legal, in line with the defined periodicity (Annual); exceptions/deviations escalated for corrective action.</t>
  </si>
  <si>
    <t>Guidance A - Legal Department Advisory Role</t>
  </si>
  <si>
    <t>The legal function must advise business groups on legal issues arising from IT use, referred by the Operational Risk Group</t>
  </si>
  <si>
    <t>Ensure business decisions incorporate sound legal advice on IT/cyber matters</t>
  </si>
  <si>
    <t>Establish a process for the legal department to review and advise on IT-related legal risks referred by the Operational Risk Group, with documented advisory outputs.</t>
  </si>
  <si>
    <t>This checkpoint tests whether the organisation has addressed the risk of the legal function must advise business groups on legal issues arising from IT use, referred by the Operational Risk Group, as required under RBI Circular DBS.CO.ITC.BC.No.6/31.02.008/2010-11 (Gopalakrishna Committee Guidelines) / Clause Guidance A - Legal Department Advisory Role. It is a manual preventive control; the auditor's objective is to independently verify that the stated control has been designed and implemented as described, and is operating effectively to bring the medium inherent risk down to an acceptable residual level.</t>
  </si>
  <si>
    <t>Confirm that establish a process for the legal department to review and advise on IT-related legal risks referred by the Operational Risk Group, with documented advisory outputs.</t>
  </si>
  <si>
    <t>Sample legal advisory records for IT-related matters referred by the Operational Risk Group.</t>
  </si>
  <si>
    <t>Legal Department</t>
  </si>
  <si>
    <t>Legal advisory records</t>
  </si>
  <si>
    <t>Manual review and sign-off by Legal Department, in line with the defined periodicity (Ongoing); exceptions/deviations escalated for corrective action.</t>
  </si>
  <si>
    <t>Guidance - IT Act 2000 Liability Awareness</t>
  </si>
  <si>
    <t>Bank must be aware of civil and criminal liability exposure under the IT Act, 2000 (as amended 2008) for computer-related offences</t>
  </si>
  <si>
    <t>Ensure management awareness of statutory liability exposure under cyber law</t>
  </si>
  <si>
    <t>Conduct periodic legal awareness/training on civil and criminal liability provisions of the IT Act, 2000 (as amended) for management and relevant staff.</t>
  </si>
  <si>
    <t>This checkpoint tests whether the organisation has addressed the risk of bank must be aware of civil and criminal liability exposure under the IT Act, 2000 (as amended 2008) for computer-related offences, as required under RBI Circular DBS.CO.ITC.BC.No.6/31.02.008/2010-11 (Gopalakrishna Committee Guidelines) / Clause Guidance - IT Act 2000 Liability Awareness. It is a manual preventive control; the auditor's objective is to independently verify that the stated control has been designed and implemented as described, and is operating effectively to bring the high inherent risk down to an acceptable residual level.</t>
  </si>
  <si>
    <t>Confirm that conduct periodic legal awareness/training on civil and criminal liability provisions of the IT Act, 2000 (as amended) for management and relevant staff.</t>
  </si>
  <si>
    <t>Review training records and briefing notes on IT Act liability provisions.</t>
  </si>
  <si>
    <t>Training records; Legal briefing notes</t>
  </si>
  <si>
    <t>Guidance (a)-(b) - Legal Risk Documentation</t>
  </si>
  <si>
    <t>Legal risk (treated as part of operational risk) should be mitigated through robust documentation practices, periodically communicated to Board/RMC</t>
  </si>
  <si>
    <t>Reduce exposure to legal risk through robust documentation</t>
  </si>
  <si>
    <t>Strengthen documentation practices (contracts, disclosures, records) to mitigate legal risk; periodically communicate legal risk position to top management and Board/RMC.</t>
  </si>
  <si>
    <t>This checkpoint tests whether the organisation has addressed the risk of legal risk (treated as part of operational risk) should be mitigated through robust documentation practices, periodically communicated to Board/RMC, as required under RBI Circular DBS.CO.ITC.BC.No.6/31.02.008/2010-11 (Gopalakrishna Committee Guidelines) / Clause Guidance (a)-(b) - Legal Risk Documentation. It is a manual preventive control; the auditor's objective is to independently verify that the stated control has been designed and implemented as described, and is operating effectively to bring the high inherent risk down to an acceptable residual level.</t>
  </si>
  <si>
    <t>Confirm that strengthen documentation practices (contracts, disclosures, records) to mitigate legal risk.</t>
  </si>
  <si>
    <t>Review evidence of documentation quality reviews and periodic legal risk reporting to RMC/Board.</t>
  </si>
  <si>
    <t>Legal / Operational Risk Group</t>
  </si>
  <si>
    <t>Documentation review report; RMC communication records</t>
  </si>
  <si>
    <t>Manual review and sign-off by Legal / Operational Risk Group, in line with the defined periodicity (Annual); exceptions/deviations escalated for corrective action.</t>
  </si>
  <si>
    <t>Guidance (c) - Data Protection &amp; Privacy Law Monitoring</t>
  </si>
  <si>
    <t>Banks must keep abreast of evolving data protection/privacy law and related judicial developments as part of legal risk mitigation</t>
  </si>
  <si>
    <t>Ensure the bank remains compliant with the evolving cyber law and data protection landscape</t>
  </si>
  <si>
    <t>Establish a regulatory watch process to monitor evolving data protection/privacy law, IT Act amendments, rules/notifications and judicial developments; update internal practices accordingly.</t>
  </si>
  <si>
    <t>This checkpoint tests whether the organisation has addressed the risk of banks must keep abreast of evolving data protection/privacy law and related judicial developments as part of legal risk mitigation, as required under RBI Circular DBS.CO.ITC.BC.No.6/31.02.008/2010-11 (Gopalakrishna Committee Guidelines) / Clause Guidance (c) - Data Protection &amp; Privacy Law Monitoring. It is a manual preventive control; the auditor's objective is to independently verify that the stated control has been designed and implemented as described, and is operating effectively to bring the high inherent risk down to an acceptable residual level.</t>
  </si>
  <si>
    <t>Confirm that establish a regulatory watch process to monitor evolving data protection/privacy law, IT Act amendments, rules/notifications and judicial developments.</t>
  </si>
  <si>
    <t>Review regulatory watch log and evidence of policy updates following legal developments.</t>
  </si>
  <si>
    <t>Regulatory watch log; Policy update records</t>
  </si>
  <si>
    <t>Manual review and sign-off by Legal / Compliance, in line with the defined periodicity (Ongoing); exceptions/deviations escalated for corrective action.</t>
  </si>
  <si>
    <t>Guidance (c) - Digital/Electronic Signature Compliance</t>
  </si>
  <si>
    <t>Banks must keep abreast of emerging legal standards on digital signature, electronic signature and electronic fund transfer</t>
  </si>
  <si>
    <t>Ensure electronic transaction mechanisms remain legally compliant</t>
  </si>
  <si>
    <t>Monitor and ensure compliance with legal standards on digital/electronic signature and electronic fund transfer as part of operational risk management.</t>
  </si>
  <si>
    <t>This checkpoint tests whether the organisation has addressed the risk of banks must keep abreast of emerging legal standards on digital signature, electronic signature and electronic fund transfer, as required under RBI Circular DBS.CO.ITC.BC.No.6/31.02.008/2010-11 (Gopalakrishna Committee Guidelines) / Clause Guidance (c) - Digital/Electronic Signature Compliance. It is a manual preventive control; the auditor's objective is to independently verify that the stated control has been designed and implemented as described, and is operating effectively to bring the medium inherent risk down to an acceptable residual level.</t>
  </si>
  <si>
    <t>Confirm that monitor and ensure compliance with legal standards on digital/electronic signature and electronic fund transfer as part of operational risk management.</t>
  </si>
  <si>
    <t>Review compliance assessment of digital signature/electronic transaction mechanisms against current legal standards.</t>
  </si>
  <si>
    <t>Legal / IT</t>
  </si>
  <si>
    <t>Compliance review record</t>
  </si>
  <si>
    <t>Manual review and sign-off by Legal / IT, in line with the defined periodicity (Annual); exceptions/deviations escalated for corrective action.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</si>
</sst>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charset val="1"/>
    </font>
    <font>
      <b/>
      <sz val="11"/>
      <color rgb="FFFFFFFF"/>
      <name val="Book Antiqua"/>
      <family val="1"/>
    </font>
    <font>
      <sz val="11"/>
      <name val="Book Antiqua"/>
      <family val="1"/>
    </font>
  </fonts>
  <fills count="3">
    <fill>
      <patternFill patternType="none"/>
    </fill>
    <fill>
      <patternFill patternType="gray125"/>
    </fill>
    <fill>
      <patternFill patternType="solid">
        <fgColor rgb="FF1F4E79"/>
        <bgColor rgb="FF003366"/>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1" fillId="2" borderId="1" xfId="0" applyFont="1" applyFill="1" applyBorder="1" applyAlignment="1">
      <alignment horizontal="center" vertical="center" wrapText="1"/>
    </xf>
    <xf numFmtId="0" fontId="0" fillId="0" borderId="0" xfId="0" applyAlignment="1">
      <alignment vertical="center"/>
    </xf>
    <xf numFmtId="0" fontId="2" fillId="0" borderId="1" xfId="0" applyFont="1" applyBorder="1" applyAlignment="1">
      <alignment vertical="center" wrapText="1"/>
    </xf>
    <xf numFmtId="0" fontId="2" fillId="0" borderId="1" xfId="0" applyFont="1" applyBorder="1" applyAlignment="1">
      <alignment horizontal="center" vertical="center" wrapText="1"/>
    </xf>
  </cellXfs>
  <cellStyles count="1">
    <cellStyle name="Normal" xfId="0" builtinId="0"/>
  </cellStyles>
  <dxfs count="9">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FF000000"/>
      <rgbColor rgb="FFFFFFFF"/>
      <rgbColor rgb="FFFF0000"/>
      <rgbColor rgb="FF00FF00"/>
      <rgbColor rgb="FF0000FF"/>
      <rgbColor rgb="FFFFFF00"/>
      <rgbColor rgb="FFFF00FF"/>
      <rgbColor rgb="FF00FFFF"/>
      <rgbColor rgb="FF9C0006"/>
      <rgbColor rgb="FF008000"/>
      <rgbColor rgb="FF000080"/>
      <rgbColor rgb="FF808000"/>
      <rgbColor rgb="FF800080"/>
      <rgbColor rgb="FF008080"/>
      <rgbColor rgb="FFBFBFBF"/>
      <rgbColor rgb="FF808080"/>
      <rgbColor rgb="FF9999FF"/>
      <rgbColor rgb="FF993366"/>
      <rgbColor rgb="FFFFF3CD"/>
      <rgbColor rgb="FFDDEBF7"/>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E2EFDA"/>
      <rgbColor rgb="FFFFF2CC"/>
      <rgbColor rgb="FF99CCFF"/>
      <rgbColor rgb="FFFF99CC"/>
      <rgbColor rgb="FFCC99FF"/>
      <rgbColor rgb="FFFFC7CE"/>
      <rgbColor rgb="FF3366FF"/>
      <rgbColor rgb="FF33CCCC"/>
      <rgbColor rgb="FF99CC00"/>
      <rgbColor rgb="FFFFCC00"/>
      <rgbColor rgb="FFFF9900"/>
      <rgbColor rgb="FFFF6600"/>
      <rgbColor rgb="FF555555"/>
      <rgbColor rgb="FF969696"/>
      <rgbColor rgb="FF003366"/>
      <rgbColor rgb="FF339966"/>
      <rgbColor rgb="FF003300"/>
      <rgbColor rgb="FF333300"/>
      <rgbColor rgb="FF993300"/>
      <rgbColor rgb="FF993366"/>
      <rgbColor rgb="FF1F4E79"/>
      <rgbColor rgb="FF333333"/>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majorFont>
      <a:minorFont>
        <a:latin typeface="Calibri"/>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a:gradFill>
        <a:gradFill>
          <a:gsLst>
            <a:gs pos="0">
              <a:schemeClr val="phClr">
                <a:shade val="51000"/>
              </a:schemeClr>
            </a:gs>
            <a:gs pos="80000">
              <a:schemeClr val="phClr">
                <a:shade val="93000"/>
              </a:schemeClr>
            </a:gs>
            <a:gs pos="100000">
              <a:schemeClr val="phClr">
                <a:shade val="94000"/>
              </a:schemeClr>
            </a:gs>
          </a:gsLst>
          <a:lin ang="16200000" scaled="0"/>
          <a:tileRect/>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a:gradFill>
        <a:gradFill>
          <a:gsLst>
            <a:gs pos="0">
              <a:schemeClr val="phClr">
                <a:tint val="80000"/>
              </a:schemeClr>
            </a:gs>
            <a:gs pos="100000">
              <a:schemeClr val="phClr">
                <a:shade val="30000"/>
              </a:schemeClr>
            </a:gs>
          </a:gsLst>
          <a:path path="circle">
            <a:fillToRect l="50000" t="50000" r="50000" b="50000"/>
          </a:path>
          <a:tileRect/>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AM317"/>
  <sheetViews>
    <sheetView tabSelected="1" topLeftCell="P1" zoomScaleNormal="100" workbookViewId="0">
      <selection activeCell="Y2" sqref="Y2"/>
    </sheetView>
  </sheetViews>
  <sheetFormatPr defaultColWidth="8.7265625" defaultRowHeight="14.5" x14ac:dyDescent="0.35"/>
  <cols>
    <col min="1" max="1" width="6" style="2" customWidth="1"/>
    <col min="2" max="2" width="22" style="2" customWidth="1"/>
    <col min="3" max="3" width="16.81640625" style="2" customWidth="1"/>
    <col min="4" max="4" width="20" style="2" customWidth="1"/>
    <col min="5" max="6" width="16" style="2" customWidth="1"/>
    <col min="7" max="7" width="18" style="2" customWidth="1"/>
    <col min="8" max="8" width="16" style="2" customWidth="1"/>
    <col min="9" max="9" width="12" style="2" customWidth="1"/>
    <col min="10" max="11" width="30" style="2" customWidth="1"/>
    <col min="12" max="12" width="32" style="2" customWidth="1"/>
    <col min="13" max="13" width="28" style="2" customWidth="1"/>
    <col min="14" max="14" width="30" style="2" customWidth="1"/>
    <col min="15" max="15" width="34" style="2" customWidth="1"/>
    <col min="16" max="17" width="14" style="2" customWidth="1"/>
    <col min="18" max="18" width="9" style="2" customWidth="1"/>
    <col min="19" max="19" width="18" style="2" customWidth="1"/>
    <col min="20" max="20" width="14" style="2" customWidth="1"/>
    <col min="21" max="21" width="28" style="2" customWidth="1"/>
    <col min="22" max="22" width="22" style="2" customWidth="1"/>
    <col min="23" max="23" width="12" style="2" customWidth="1"/>
    <col min="24" max="24" width="9" style="2" customWidth="1"/>
    <col min="25" max="27" width="12" style="2" customWidth="1"/>
    <col min="28" max="28" width="14" style="2" customWidth="1"/>
    <col min="29" max="29" width="12" style="2" customWidth="1"/>
    <col min="30" max="31" width="9" style="2" customWidth="1"/>
    <col min="32" max="33" width="12" style="2" customWidth="1"/>
    <col min="34" max="36" width="24" style="2" customWidth="1"/>
    <col min="37" max="37" width="26" style="2" customWidth="1"/>
    <col min="38" max="38" width="24" style="2" customWidth="1"/>
    <col min="39" max="39" width="16" style="2" customWidth="1"/>
    <col min="40" max="16384" width="8.7265625" style="2"/>
  </cols>
  <sheetData>
    <row r="1" spans="1:39" ht="51.75" customHeight="1" x14ac:dyDescent="0.3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row>
    <row r="2" spans="1:39" ht="108" customHeight="1" x14ac:dyDescent="0.35">
      <c r="A2" s="4">
        <v>1</v>
      </c>
      <c r="B2" s="3" t="s">
        <v>39</v>
      </c>
      <c r="C2" s="3" t="s">
        <v>40</v>
      </c>
      <c r="D2" s="3" t="s">
        <v>41</v>
      </c>
      <c r="E2" s="3" t="s">
        <v>41</v>
      </c>
      <c r="F2" s="3" t="s">
        <v>42</v>
      </c>
      <c r="G2" s="3" t="s">
        <v>43</v>
      </c>
      <c r="H2" s="3" t="s">
        <v>44</v>
      </c>
      <c r="I2" s="4">
        <v>4</v>
      </c>
      <c r="J2" s="3" t="s">
        <v>45</v>
      </c>
      <c r="K2" s="3" t="s">
        <v>46</v>
      </c>
      <c r="L2" s="3" t="s">
        <v>47</v>
      </c>
      <c r="M2" s="3" t="s">
        <v>48</v>
      </c>
      <c r="N2" s="3" t="s">
        <v>49</v>
      </c>
      <c r="O2" s="3" t="s">
        <v>50</v>
      </c>
      <c r="P2" s="3" t="s">
        <v>51</v>
      </c>
      <c r="Q2" s="3" t="s">
        <v>52</v>
      </c>
      <c r="R2" s="3" t="s">
        <v>53</v>
      </c>
      <c r="S2" s="3" t="s">
        <v>54</v>
      </c>
      <c r="T2" s="3" t="s">
        <v>55</v>
      </c>
      <c r="U2" s="3" t="s">
        <v>56</v>
      </c>
      <c r="V2" s="3" t="s">
        <v>57</v>
      </c>
      <c r="W2" s="3" t="s">
        <v>58</v>
      </c>
      <c r="X2" s="3">
        <f t="shared" ref="X2:X65" si="0">IF(W2="","",IF(W2="Critical",4,IF(W2="High",3,IF(W2="Medium",2,IF(W2="Low",1,"")))))</f>
        <v>3</v>
      </c>
      <c r="Y2" s="3" t="s">
        <v>53</v>
      </c>
      <c r="Z2" s="3" t="s">
        <v>53</v>
      </c>
      <c r="AA2" s="3" t="s">
        <v>53</v>
      </c>
      <c r="AB2" s="3" t="str">
        <f t="shared" ref="AB2:AB65" si="1">IF(OR(Y2="",Z2=""),"",IF(AND(Y2="Y",Z2="Y"),"Effective",IF(AND(Y2="N",Z2="N"),"Ineffective","Partially Effective")))</f>
        <v>Effective</v>
      </c>
      <c r="AC2" s="3" t="str">
        <f t="shared" ref="AC2:AC65" si="2">IF(OR(W2="",AB2=""),"",IF(AB2="Effective",IF(W2="Critical","Medium","Low"),IF(AB2="Partially Effective",IF(W2="Critical","High",IF(W2="High","Medium",W2)),W2)))</f>
        <v>Low</v>
      </c>
      <c r="AD2" s="3">
        <f t="shared" ref="AD2:AD65" si="3">IF(OR(AA2="",AA2="NA",X2=""),"",IF(AA2="Y",X2,IF(AA2="P",X2*0.5,IF(AA2="N",0,""))))</f>
        <v>3</v>
      </c>
      <c r="AE2" s="3">
        <f t="shared" ref="AE2:AE65" si="4">IF(OR(AA2="",AA2="NA",X2=""),"",X2)</f>
        <v>3</v>
      </c>
      <c r="AF2" s="3" t="s">
        <v>59</v>
      </c>
      <c r="AG2" s="3"/>
      <c r="AH2" s="3"/>
      <c r="AI2" s="3"/>
      <c r="AJ2" s="3"/>
      <c r="AK2" s="3"/>
      <c r="AL2" s="3" t="s">
        <v>60</v>
      </c>
      <c r="AM2" s="3" t="str">
        <f t="shared" ref="AM2:AM65" si="5">IF(OR(W2="",R2=""),"",IF(AND(R2="Y",OR(W2="Critical",W2="High")),"Must Have","Should Have"))</f>
        <v>Must Have</v>
      </c>
    </row>
    <row r="3" spans="1:39" ht="108" customHeight="1" x14ac:dyDescent="0.35">
      <c r="A3" s="4">
        <v>2</v>
      </c>
      <c r="B3" s="3" t="s">
        <v>39</v>
      </c>
      <c r="C3" s="3" t="s">
        <v>40</v>
      </c>
      <c r="D3" s="3" t="s">
        <v>41</v>
      </c>
      <c r="E3" s="3" t="s">
        <v>41</v>
      </c>
      <c r="F3" s="3" t="s">
        <v>42</v>
      </c>
      <c r="G3" s="3" t="s">
        <v>43</v>
      </c>
      <c r="H3" s="3" t="s">
        <v>44</v>
      </c>
      <c r="I3" s="4">
        <v>5</v>
      </c>
      <c r="J3" s="3" t="s">
        <v>61</v>
      </c>
      <c r="K3" s="3" t="s">
        <v>62</v>
      </c>
      <c r="L3" s="3" t="s">
        <v>63</v>
      </c>
      <c r="M3" s="3" t="s">
        <v>64</v>
      </c>
      <c r="N3" s="3" t="s">
        <v>65</v>
      </c>
      <c r="O3" s="3" t="s">
        <v>66</v>
      </c>
      <c r="P3" s="3" t="s">
        <v>51</v>
      </c>
      <c r="Q3" s="3" t="s">
        <v>52</v>
      </c>
      <c r="R3" s="3" t="s">
        <v>53</v>
      </c>
      <c r="S3" s="3" t="s">
        <v>67</v>
      </c>
      <c r="T3" s="3" t="s">
        <v>68</v>
      </c>
      <c r="U3" s="3" t="s">
        <v>69</v>
      </c>
      <c r="V3" s="3" t="s">
        <v>70</v>
      </c>
      <c r="W3" s="3" t="s">
        <v>58</v>
      </c>
      <c r="X3" s="3">
        <f t="shared" si="0"/>
        <v>3</v>
      </c>
      <c r="Y3" s="3" t="s">
        <v>53</v>
      </c>
      <c r="Z3" s="3" t="s">
        <v>53</v>
      </c>
      <c r="AA3" s="3" t="s">
        <v>53</v>
      </c>
      <c r="AB3" s="3" t="str">
        <f t="shared" si="1"/>
        <v>Effective</v>
      </c>
      <c r="AC3" s="3" t="str">
        <f t="shared" si="2"/>
        <v>Low</v>
      </c>
      <c r="AD3" s="3">
        <f t="shared" si="3"/>
        <v>3</v>
      </c>
      <c r="AE3" s="3">
        <f t="shared" si="4"/>
        <v>3</v>
      </c>
      <c r="AF3" s="3" t="s">
        <v>59</v>
      </c>
      <c r="AG3" s="3"/>
      <c r="AH3" s="3"/>
      <c r="AI3" s="3"/>
      <c r="AJ3" s="3"/>
      <c r="AK3" s="3"/>
      <c r="AL3" s="3" t="s">
        <v>60</v>
      </c>
      <c r="AM3" s="3" t="str">
        <f t="shared" si="5"/>
        <v>Must Have</v>
      </c>
    </row>
    <row r="4" spans="1:39" ht="108" customHeight="1" x14ac:dyDescent="0.35">
      <c r="A4" s="4">
        <v>3</v>
      </c>
      <c r="B4" s="3" t="s">
        <v>39</v>
      </c>
      <c r="C4" s="3" t="s">
        <v>40</v>
      </c>
      <c r="D4" s="3" t="s">
        <v>41</v>
      </c>
      <c r="E4" s="3" t="s">
        <v>41</v>
      </c>
      <c r="F4" s="3" t="s">
        <v>42</v>
      </c>
      <c r="G4" s="3" t="s">
        <v>43</v>
      </c>
      <c r="H4" s="3" t="s">
        <v>44</v>
      </c>
      <c r="I4" s="4">
        <v>6</v>
      </c>
      <c r="J4" s="3" t="s">
        <v>71</v>
      </c>
      <c r="K4" s="3" t="s">
        <v>72</v>
      </c>
      <c r="L4" s="3" t="s">
        <v>73</v>
      </c>
      <c r="M4" s="3" t="s">
        <v>74</v>
      </c>
      <c r="N4" s="3" t="s">
        <v>75</v>
      </c>
      <c r="O4" s="3" t="s">
        <v>76</v>
      </c>
      <c r="P4" s="3" t="s">
        <v>51</v>
      </c>
      <c r="Q4" s="3" t="s">
        <v>52</v>
      </c>
      <c r="R4" s="3" t="s">
        <v>53</v>
      </c>
      <c r="S4" s="3" t="s">
        <v>77</v>
      </c>
      <c r="T4" s="3" t="s">
        <v>78</v>
      </c>
      <c r="U4" s="3" t="s">
        <v>79</v>
      </c>
      <c r="V4" s="3" t="s">
        <v>80</v>
      </c>
      <c r="W4" s="3" t="s">
        <v>58</v>
      </c>
      <c r="X4" s="3">
        <f t="shared" si="0"/>
        <v>3</v>
      </c>
      <c r="Y4" s="3" t="s">
        <v>53</v>
      </c>
      <c r="Z4" s="3" t="s">
        <v>53</v>
      </c>
      <c r="AA4" s="3" t="s">
        <v>53</v>
      </c>
      <c r="AB4" s="3" t="str">
        <f t="shared" si="1"/>
        <v>Effective</v>
      </c>
      <c r="AC4" s="3" t="str">
        <f t="shared" si="2"/>
        <v>Low</v>
      </c>
      <c r="AD4" s="3">
        <f t="shared" si="3"/>
        <v>3</v>
      </c>
      <c r="AE4" s="3">
        <f t="shared" si="4"/>
        <v>3</v>
      </c>
      <c r="AF4" s="3" t="s">
        <v>59</v>
      </c>
      <c r="AG4" s="3"/>
      <c r="AH4" s="3"/>
      <c r="AI4" s="3"/>
      <c r="AJ4" s="3"/>
      <c r="AK4" s="3"/>
      <c r="AL4" s="3" t="s">
        <v>60</v>
      </c>
      <c r="AM4" s="3" t="str">
        <f t="shared" si="5"/>
        <v>Must Have</v>
      </c>
    </row>
    <row r="5" spans="1:39" ht="108" customHeight="1" x14ac:dyDescent="0.35">
      <c r="A5" s="4">
        <v>4</v>
      </c>
      <c r="B5" s="3" t="s">
        <v>39</v>
      </c>
      <c r="C5" s="3" t="s">
        <v>40</v>
      </c>
      <c r="D5" s="3" t="s">
        <v>41</v>
      </c>
      <c r="E5" s="3" t="s">
        <v>41</v>
      </c>
      <c r="F5" s="3" t="s">
        <v>42</v>
      </c>
      <c r="G5" s="3" t="s">
        <v>43</v>
      </c>
      <c r="H5" s="3" t="s">
        <v>44</v>
      </c>
      <c r="I5" s="4" t="s">
        <v>81</v>
      </c>
      <c r="J5" s="3" t="s">
        <v>82</v>
      </c>
      <c r="K5" s="3" t="s">
        <v>83</v>
      </c>
      <c r="L5" s="3" t="s">
        <v>84</v>
      </c>
      <c r="M5" s="3" t="s">
        <v>85</v>
      </c>
      <c r="N5" s="3" t="s">
        <v>86</v>
      </c>
      <c r="O5" s="3" t="s">
        <v>87</v>
      </c>
      <c r="P5" s="3" t="s">
        <v>51</v>
      </c>
      <c r="Q5" s="3" t="s">
        <v>52</v>
      </c>
      <c r="R5" s="3" t="s">
        <v>53</v>
      </c>
      <c r="S5" s="3" t="s">
        <v>88</v>
      </c>
      <c r="T5" s="3" t="s">
        <v>89</v>
      </c>
      <c r="U5" s="3" t="s">
        <v>90</v>
      </c>
      <c r="V5" s="3" t="s">
        <v>91</v>
      </c>
      <c r="W5" s="3" t="s">
        <v>58</v>
      </c>
      <c r="X5" s="3">
        <f t="shared" si="0"/>
        <v>3</v>
      </c>
      <c r="Y5" s="3" t="s">
        <v>53</v>
      </c>
      <c r="Z5" s="3" t="s">
        <v>53</v>
      </c>
      <c r="AA5" s="3" t="s">
        <v>53</v>
      </c>
      <c r="AB5" s="3" t="str">
        <f t="shared" si="1"/>
        <v>Effective</v>
      </c>
      <c r="AC5" s="3" t="str">
        <f t="shared" si="2"/>
        <v>Low</v>
      </c>
      <c r="AD5" s="3">
        <f t="shared" si="3"/>
        <v>3</v>
      </c>
      <c r="AE5" s="3">
        <f t="shared" si="4"/>
        <v>3</v>
      </c>
      <c r="AF5" s="3" t="s">
        <v>59</v>
      </c>
      <c r="AG5" s="3"/>
      <c r="AH5" s="3"/>
      <c r="AI5" s="3"/>
      <c r="AJ5" s="3"/>
      <c r="AK5" s="3"/>
      <c r="AL5" s="3" t="s">
        <v>60</v>
      </c>
      <c r="AM5" s="3" t="str">
        <f t="shared" si="5"/>
        <v>Must Have</v>
      </c>
    </row>
    <row r="6" spans="1:39" ht="108" customHeight="1" x14ac:dyDescent="0.35">
      <c r="A6" s="4">
        <v>5</v>
      </c>
      <c r="B6" s="3" t="s">
        <v>39</v>
      </c>
      <c r="C6" s="3" t="s">
        <v>40</v>
      </c>
      <c r="D6" s="3" t="s">
        <v>41</v>
      </c>
      <c r="E6" s="3" t="s">
        <v>41</v>
      </c>
      <c r="F6" s="3" t="s">
        <v>42</v>
      </c>
      <c r="G6" s="3" t="s">
        <v>43</v>
      </c>
      <c r="H6" s="3" t="s">
        <v>44</v>
      </c>
      <c r="I6" s="4">
        <v>7</v>
      </c>
      <c r="J6" s="3" t="s">
        <v>92</v>
      </c>
      <c r="K6" s="3" t="s">
        <v>93</v>
      </c>
      <c r="L6" s="3" t="s">
        <v>94</v>
      </c>
      <c r="M6" s="3" t="s">
        <v>95</v>
      </c>
      <c r="N6" s="3" t="s">
        <v>96</v>
      </c>
      <c r="O6" s="3" t="s">
        <v>97</v>
      </c>
      <c r="P6" s="3" t="s">
        <v>51</v>
      </c>
      <c r="Q6" s="3" t="s">
        <v>52</v>
      </c>
      <c r="R6" s="3" t="s">
        <v>53</v>
      </c>
      <c r="S6" s="3" t="s">
        <v>98</v>
      </c>
      <c r="T6" s="3" t="s">
        <v>78</v>
      </c>
      <c r="U6" s="3" t="s">
        <v>99</v>
      </c>
      <c r="V6" s="3" t="s">
        <v>100</v>
      </c>
      <c r="W6" s="3" t="s">
        <v>58</v>
      </c>
      <c r="X6" s="3">
        <f t="shared" si="0"/>
        <v>3</v>
      </c>
      <c r="Y6" s="3" t="s">
        <v>53</v>
      </c>
      <c r="Z6" s="3" t="s">
        <v>53</v>
      </c>
      <c r="AA6" s="3" t="s">
        <v>53</v>
      </c>
      <c r="AB6" s="3" t="str">
        <f t="shared" si="1"/>
        <v>Effective</v>
      </c>
      <c r="AC6" s="3" t="str">
        <f t="shared" si="2"/>
        <v>Low</v>
      </c>
      <c r="AD6" s="3">
        <f t="shared" si="3"/>
        <v>3</v>
      </c>
      <c r="AE6" s="3">
        <f t="shared" si="4"/>
        <v>3</v>
      </c>
      <c r="AF6" s="3" t="s">
        <v>59</v>
      </c>
      <c r="AG6" s="3"/>
      <c r="AH6" s="3"/>
      <c r="AI6" s="3"/>
      <c r="AJ6" s="3"/>
      <c r="AK6" s="3"/>
      <c r="AL6" s="3" t="s">
        <v>60</v>
      </c>
      <c r="AM6" s="3" t="str">
        <f t="shared" si="5"/>
        <v>Must Have</v>
      </c>
    </row>
    <row r="7" spans="1:39" ht="108" customHeight="1" x14ac:dyDescent="0.35">
      <c r="A7" s="4">
        <v>6</v>
      </c>
      <c r="B7" s="3" t="s">
        <v>39</v>
      </c>
      <c r="C7" s="3" t="s">
        <v>40</v>
      </c>
      <c r="D7" s="3" t="s">
        <v>41</v>
      </c>
      <c r="E7" s="3" t="s">
        <v>41</v>
      </c>
      <c r="F7" s="3" t="s">
        <v>42</v>
      </c>
      <c r="G7" s="3" t="s">
        <v>43</v>
      </c>
      <c r="H7" s="3" t="s">
        <v>44</v>
      </c>
      <c r="I7" s="4">
        <v>8</v>
      </c>
      <c r="J7" s="3" t="s">
        <v>101</v>
      </c>
      <c r="K7" s="3" t="s">
        <v>102</v>
      </c>
      <c r="L7" s="3" t="s">
        <v>103</v>
      </c>
      <c r="M7" s="3" t="s">
        <v>104</v>
      </c>
      <c r="N7" s="3" t="s">
        <v>105</v>
      </c>
      <c r="O7" s="3" t="s">
        <v>106</v>
      </c>
      <c r="P7" s="3" t="s">
        <v>51</v>
      </c>
      <c r="Q7" s="3" t="s">
        <v>52</v>
      </c>
      <c r="R7" s="3" t="s">
        <v>53</v>
      </c>
      <c r="S7" s="3" t="s">
        <v>107</v>
      </c>
      <c r="T7" s="3" t="s">
        <v>108</v>
      </c>
      <c r="U7" s="3" t="s">
        <v>109</v>
      </c>
      <c r="V7" s="3" t="s">
        <v>110</v>
      </c>
      <c r="W7" s="3" t="s">
        <v>58</v>
      </c>
      <c r="X7" s="3">
        <f t="shared" si="0"/>
        <v>3</v>
      </c>
      <c r="Y7" s="3" t="s">
        <v>53</v>
      </c>
      <c r="Z7" s="3" t="s">
        <v>53</v>
      </c>
      <c r="AA7" s="3" t="s">
        <v>53</v>
      </c>
      <c r="AB7" s="3" t="str">
        <f t="shared" si="1"/>
        <v>Effective</v>
      </c>
      <c r="AC7" s="3" t="str">
        <f t="shared" si="2"/>
        <v>Low</v>
      </c>
      <c r="AD7" s="3">
        <f t="shared" si="3"/>
        <v>3</v>
      </c>
      <c r="AE7" s="3">
        <f t="shared" si="4"/>
        <v>3</v>
      </c>
      <c r="AF7" s="3" t="s">
        <v>59</v>
      </c>
      <c r="AG7" s="3"/>
      <c r="AH7" s="3"/>
      <c r="AI7" s="3"/>
      <c r="AJ7" s="3"/>
      <c r="AK7" s="3"/>
      <c r="AL7" s="3" t="s">
        <v>60</v>
      </c>
      <c r="AM7" s="3" t="str">
        <f t="shared" si="5"/>
        <v>Must Have</v>
      </c>
    </row>
    <row r="8" spans="1:39" ht="108" customHeight="1" x14ac:dyDescent="0.35">
      <c r="A8" s="4">
        <v>7</v>
      </c>
      <c r="B8" s="3" t="s">
        <v>39</v>
      </c>
      <c r="C8" s="3" t="s">
        <v>111</v>
      </c>
      <c r="D8" s="3" t="s">
        <v>112</v>
      </c>
      <c r="E8" s="3" t="s">
        <v>113</v>
      </c>
      <c r="F8" s="3" t="s">
        <v>114</v>
      </c>
      <c r="G8" s="3" t="s">
        <v>43</v>
      </c>
      <c r="H8" s="3" t="s">
        <v>115</v>
      </c>
      <c r="I8" s="4">
        <v>9</v>
      </c>
      <c r="J8" s="3" t="s">
        <v>116</v>
      </c>
      <c r="K8" s="3" t="s">
        <v>117</v>
      </c>
      <c r="L8" s="3" t="s">
        <v>118</v>
      </c>
      <c r="M8" s="3" t="s">
        <v>119</v>
      </c>
      <c r="N8" s="3" t="s">
        <v>120</v>
      </c>
      <c r="O8" s="3" t="s">
        <v>121</v>
      </c>
      <c r="P8" s="3" t="s">
        <v>122</v>
      </c>
      <c r="Q8" s="3" t="s">
        <v>52</v>
      </c>
      <c r="R8" s="3" t="s">
        <v>53</v>
      </c>
      <c r="S8" s="3" t="s">
        <v>123</v>
      </c>
      <c r="T8" s="3" t="s">
        <v>124</v>
      </c>
      <c r="U8" s="3" t="s">
        <v>125</v>
      </c>
      <c r="V8" s="3" t="s">
        <v>126</v>
      </c>
      <c r="W8" s="3" t="s">
        <v>58</v>
      </c>
      <c r="X8" s="3">
        <f t="shared" si="0"/>
        <v>3</v>
      </c>
      <c r="Y8" s="3" t="s">
        <v>53</v>
      </c>
      <c r="Z8" s="3" t="s">
        <v>53</v>
      </c>
      <c r="AA8" s="3" t="s">
        <v>53</v>
      </c>
      <c r="AB8" s="3" t="str">
        <f t="shared" si="1"/>
        <v>Effective</v>
      </c>
      <c r="AC8" s="3" t="str">
        <f t="shared" si="2"/>
        <v>Low</v>
      </c>
      <c r="AD8" s="3">
        <f t="shared" si="3"/>
        <v>3</v>
      </c>
      <c r="AE8" s="3">
        <f t="shared" si="4"/>
        <v>3</v>
      </c>
      <c r="AF8" s="3" t="s">
        <v>59</v>
      </c>
      <c r="AG8" s="3"/>
      <c r="AH8" s="3"/>
      <c r="AI8" s="3"/>
      <c r="AJ8" s="3"/>
      <c r="AK8" s="3"/>
      <c r="AL8" s="3" t="s">
        <v>60</v>
      </c>
      <c r="AM8" s="3" t="str">
        <f t="shared" si="5"/>
        <v>Must Have</v>
      </c>
    </row>
    <row r="9" spans="1:39" ht="108" customHeight="1" x14ac:dyDescent="0.35">
      <c r="A9" s="4">
        <v>8</v>
      </c>
      <c r="B9" s="3" t="s">
        <v>39</v>
      </c>
      <c r="C9" s="3" t="s">
        <v>111</v>
      </c>
      <c r="D9" s="3" t="s">
        <v>112</v>
      </c>
      <c r="E9" s="3" t="s">
        <v>113</v>
      </c>
      <c r="F9" s="3" t="s">
        <v>114</v>
      </c>
      <c r="G9" s="3" t="s">
        <v>43</v>
      </c>
      <c r="H9" s="3" t="s">
        <v>115</v>
      </c>
      <c r="I9" s="4" t="s">
        <v>127</v>
      </c>
      <c r="J9" s="3" t="s">
        <v>128</v>
      </c>
      <c r="K9" s="3" t="s">
        <v>129</v>
      </c>
      <c r="L9" s="3" t="s">
        <v>130</v>
      </c>
      <c r="M9" s="3" t="s">
        <v>131</v>
      </c>
      <c r="N9" s="3" t="s">
        <v>132</v>
      </c>
      <c r="O9" s="3" t="s">
        <v>133</v>
      </c>
      <c r="P9" s="3" t="s">
        <v>122</v>
      </c>
      <c r="Q9" s="3" t="s">
        <v>52</v>
      </c>
      <c r="R9" s="3" t="s">
        <v>53</v>
      </c>
      <c r="S9" s="3" t="s">
        <v>134</v>
      </c>
      <c r="T9" s="3" t="s">
        <v>108</v>
      </c>
      <c r="U9" s="3" t="s">
        <v>135</v>
      </c>
      <c r="V9" s="3" t="s">
        <v>136</v>
      </c>
      <c r="W9" s="3" t="s">
        <v>58</v>
      </c>
      <c r="X9" s="3">
        <f t="shared" si="0"/>
        <v>3</v>
      </c>
      <c r="Y9" s="3" t="s">
        <v>53</v>
      </c>
      <c r="Z9" s="3" t="s">
        <v>53</v>
      </c>
      <c r="AA9" s="3" t="s">
        <v>53</v>
      </c>
      <c r="AB9" s="3" t="str">
        <f t="shared" si="1"/>
        <v>Effective</v>
      </c>
      <c r="AC9" s="3" t="str">
        <f t="shared" si="2"/>
        <v>Low</v>
      </c>
      <c r="AD9" s="3">
        <f t="shared" si="3"/>
        <v>3</v>
      </c>
      <c r="AE9" s="3">
        <f t="shared" si="4"/>
        <v>3</v>
      </c>
      <c r="AF9" s="3" t="s">
        <v>59</v>
      </c>
      <c r="AG9" s="3"/>
      <c r="AH9" s="3"/>
      <c r="AI9" s="3"/>
      <c r="AJ9" s="3"/>
      <c r="AK9" s="3"/>
      <c r="AL9" s="3" t="s">
        <v>60</v>
      </c>
      <c r="AM9" s="3" t="str">
        <f t="shared" si="5"/>
        <v>Must Have</v>
      </c>
    </row>
    <row r="10" spans="1:39" ht="108" customHeight="1" x14ac:dyDescent="0.35">
      <c r="A10" s="4">
        <v>9</v>
      </c>
      <c r="B10" s="3" t="s">
        <v>39</v>
      </c>
      <c r="C10" s="3" t="s">
        <v>111</v>
      </c>
      <c r="D10" s="3" t="s">
        <v>112</v>
      </c>
      <c r="E10" s="3" t="s">
        <v>113</v>
      </c>
      <c r="F10" s="3" t="s">
        <v>42</v>
      </c>
      <c r="G10" s="3" t="s">
        <v>43</v>
      </c>
      <c r="H10" s="3" t="s">
        <v>115</v>
      </c>
      <c r="I10" s="4">
        <v>10</v>
      </c>
      <c r="J10" s="3" t="s">
        <v>137</v>
      </c>
      <c r="K10" s="3" t="s">
        <v>138</v>
      </c>
      <c r="L10" s="3" t="s">
        <v>139</v>
      </c>
      <c r="M10" s="3" t="s">
        <v>140</v>
      </c>
      <c r="N10" s="3" t="s">
        <v>141</v>
      </c>
      <c r="O10" s="3" t="s">
        <v>142</v>
      </c>
      <c r="P10" s="3" t="s">
        <v>51</v>
      </c>
      <c r="Q10" s="3" t="s">
        <v>52</v>
      </c>
      <c r="R10" s="3" t="s">
        <v>53</v>
      </c>
      <c r="S10" s="3" t="s">
        <v>143</v>
      </c>
      <c r="T10" s="3" t="s">
        <v>144</v>
      </c>
      <c r="U10" s="3" t="s">
        <v>145</v>
      </c>
      <c r="V10" s="3" t="s">
        <v>146</v>
      </c>
      <c r="W10" s="3" t="s">
        <v>58</v>
      </c>
      <c r="X10" s="3">
        <f t="shared" si="0"/>
        <v>3</v>
      </c>
      <c r="Y10" s="3" t="s">
        <v>53</v>
      </c>
      <c r="Z10" s="3" t="s">
        <v>53</v>
      </c>
      <c r="AA10" s="3" t="s">
        <v>53</v>
      </c>
      <c r="AB10" s="3" t="str">
        <f t="shared" si="1"/>
        <v>Effective</v>
      </c>
      <c r="AC10" s="3" t="str">
        <f t="shared" si="2"/>
        <v>Low</v>
      </c>
      <c r="AD10" s="3">
        <f t="shared" si="3"/>
        <v>3</v>
      </c>
      <c r="AE10" s="3">
        <f t="shared" si="4"/>
        <v>3</v>
      </c>
      <c r="AF10" s="3" t="s">
        <v>59</v>
      </c>
      <c r="AG10" s="3"/>
      <c r="AH10" s="3"/>
      <c r="AI10" s="3"/>
      <c r="AJ10" s="3"/>
      <c r="AK10" s="3"/>
      <c r="AL10" s="3" t="s">
        <v>60</v>
      </c>
      <c r="AM10" s="3" t="str">
        <f t="shared" si="5"/>
        <v>Must Have</v>
      </c>
    </row>
    <row r="11" spans="1:39" ht="108" customHeight="1" x14ac:dyDescent="0.35">
      <c r="A11" s="4">
        <v>10</v>
      </c>
      <c r="B11" s="3" t="s">
        <v>39</v>
      </c>
      <c r="C11" s="3" t="s">
        <v>111</v>
      </c>
      <c r="D11" s="3" t="s">
        <v>112</v>
      </c>
      <c r="E11" s="3" t="s">
        <v>113</v>
      </c>
      <c r="F11" s="3" t="s">
        <v>42</v>
      </c>
      <c r="G11" s="3" t="s">
        <v>43</v>
      </c>
      <c r="H11" s="3" t="s">
        <v>115</v>
      </c>
      <c r="I11" s="4">
        <v>11</v>
      </c>
      <c r="J11" s="3" t="s">
        <v>147</v>
      </c>
      <c r="K11" s="3" t="s">
        <v>148</v>
      </c>
      <c r="L11" s="3" t="s">
        <v>149</v>
      </c>
      <c r="M11" s="3" t="s">
        <v>150</v>
      </c>
      <c r="N11" s="3" t="s">
        <v>151</v>
      </c>
      <c r="O11" s="3" t="s">
        <v>152</v>
      </c>
      <c r="P11" s="3" t="s">
        <v>122</v>
      </c>
      <c r="Q11" s="3" t="s">
        <v>153</v>
      </c>
      <c r="R11" s="3" t="s">
        <v>154</v>
      </c>
      <c r="S11" s="3" t="s">
        <v>155</v>
      </c>
      <c r="T11" s="3" t="s">
        <v>156</v>
      </c>
      <c r="U11" s="3" t="s">
        <v>157</v>
      </c>
      <c r="V11" s="3" t="s">
        <v>158</v>
      </c>
      <c r="W11" s="3" t="s">
        <v>159</v>
      </c>
      <c r="X11" s="3">
        <f t="shared" si="0"/>
        <v>2</v>
      </c>
      <c r="Y11" s="3" t="s">
        <v>53</v>
      </c>
      <c r="Z11" s="3" t="s">
        <v>53</v>
      </c>
      <c r="AA11" s="3" t="s">
        <v>53</v>
      </c>
      <c r="AB11" s="3" t="str">
        <f t="shared" si="1"/>
        <v>Effective</v>
      </c>
      <c r="AC11" s="3" t="str">
        <f t="shared" si="2"/>
        <v>Low</v>
      </c>
      <c r="AD11" s="3">
        <f t="shared" si="3"/>
        <v>2</v>
      </c>
      <c r="AE11" s="3">
        <f t="shared" si="4"/>
        <v>2</v>
      </c>
      <c r="AF11" s="3" t="s">
        <v>59</v>
      </c>
      <c r="AG11" s="3"/>
      <c r="AH11" s="3"/>
      <c r="AI11" s="3"/>
      <c r="AJ11" s="3"/>
      <c r="AK11" s="3"/>
      <c r="AL11" s="3" t="s">
        <v>60</v>
      </c>
      <c r="AM11" s="3" t="str">
        <f t="shared" si="5"/>
        <v>Should Have</v>
      </c>
    </row>
    <row r="12" spans="1:39" ht="108" customHeight="1" x14ac:dyDescent="0.35">
      <c r="A12" s="4">
        <v>11</v>
      </c>
      <c r="B12" s="3" t="s">
        <v>39</v>
      </c>
      <c r="C12" s="3" t="s">
        <v>111</v>
      </c>
      <c r="D12" s="3" t="s">
        <v>112</v>
      </c>
      <c r="E12" s="3" t="s">
        <v>113</v>
      </c>
      <c r="F12" s="3" t="s">
        <v>114</v>
      </c>
      <c r="G12" s="3" t="s">
        <v>43</v>
      </c>
      <c r="H12" s="3" t="s">
        <v>115</v>
      </c>
      <c r="I12" s="4">
        <v>12</v>
      </c>
      <c r="J12" s="3" t="s">
        <v>160</v>
      </c>
      <c r="K12" s="3" t="s">
        <v>161</v>
      </c>
      <c r="L12" s="3" t="s">
        <v>162</v>
      </c>
      <c r="M12" s="3" t="s">
        <v>163</v>
      </c>
      <c r="N12" s="3" t="s">
        <v>164</v>
      </c>
      <c r="O12" s="3" t="s">
        <v>165</v>
      </c>
      <c r="P12" s="3" t="s">
        <v>51</v>
      </c>
      <c r="Q12" s="3" t="s">
        <v>52</v>
      </c>
      <c r="R12" s="3" t="s">
        <v>53</v>
      </c>
      <c r="S12" s="3" t="s">
        <v>166</v>
      </c>
      <c r="T12" s="3" t="s">
        <v>167</v>
      </c>
      <c r="U12" s="3" t="s">
        <v>168</v>
      </c>
      <c r="V12" s="3" t="s">
        <v>169</v>
      </c>
      <c r="W12" s="3" t="s">
        <v>58</v>
      </c>
      <c r="X12" s="3">
        <f t="shared" si="0"/>
        <v>3</v>
      </c>
      <c r="Y12" s="3" t="s">
        <v>53</v>
      </c>
      <c r="Z12" s="3" t="s">
        <v>53</v>
      </c>
      <c r="AA12" s="3" t="s">
        <v>53</v>
      </c>
      <c r="AB12" s="3" t="str">
        <f t="shared" si="1"/>
        <v>Effective</v>
      </c>
      <c r="AC12" s="3" t="str">
        <f t="shared" si="2"/>
        <v>Low</v>
      </c>
      <c r="AD12" s="3">
        <f t="shared" si="3"/>
        <v>3</v>
      </c>
      <c r="AE12" s="3">
        <f t="shared" si="4"/>
        <v>3</v>
      </c>
      <c r="AF12" s="3" t="s">
        <v>59</v>
      </c>
      <c r="AG12" s="3"/>
      <c r="AH12" s="3"/>
      <c r="AI12" s="3"/>
      <c r="AJ12" s="3"/>
      <c r="AK12" s="3"/>
      <c r="AL12" s="3" t="s">
        <v>60</v>
      </c>
      <c r="AM12" s="3" t="str">
        <f t="shared" si="5"/>
        <v>Must Have</v>
      </c>
    </row>
    <row r="13" spans="1:39" ht="108" customHeight="1" x14ac:dyDescent="0.35">
      <c r="A13" s="4">
        <v>12</v>
      </c>
      <c r="B13" s="3" t="s">
        <v>39</v>
      </c>
      <c r="C13" s="3" t="s">
        <v>111</v>
      </c>
      <c r="D13" s="3" t="s">
        <v>112</v>
      </c>
      <c r="E13" s="3" t="s">
        <v>113</v>
      </c>
      <c r="F13" s="3" t="s">
        <v>114</v>
      </c>
      <c r="G13" s="3" t="s">
        <v>43</v>
      </c>
      <c r="H13" s="3" t="s">
        <v>115</v>
      </c>
      <c r="I13" s="4" t="s">
        <v>170</v>
      </c>
      <c r="J13" s="3" t="s">
        <v>171</v>
      </c>
      <c r="K13" s="3" t="s">
        <v>172</v>
      </c>
      <c r="L13" s="3" t="s">
        <v>173</v>
      </c>
      <c r="M13" s="3" t="s">
        <v>174</v>
      </c>
      <c r="N13" s="3" t="s">
        <v>175</v>
      </c>
      <c r="O13" s="3" t="s">
        <v>176</v>
      </c>
      <c r="P13" s="3" t="s">
        <v>51</v>
      </c>
      <c r="Q13" s="3" t="s">
        <v>52</v>
      </c>
      <c r="R13" s="3" t="s">
        <v>53</v>
      </c>
      <c r="S13" s="3" t="s">
        <v>177</v>
      </c>
      <c r="T13" s="3" t="s">
        <v>178</v>
      </c>
      <c r="U13" s="3" t="s">
        <v>179</v>
      </c>
      <c r="V13" s="3" t="s">
        <v>180</v>
      </c>
      <c r="W13" s="3" t="s">
        <v>58</v>
      </c>
      <c r="X13" s="3">
        <f t="shared" si="0"/>
        <v>3</v>
      </c>
      <c r="Y13" s="3" t="s">
        <v>53</v>
      </c>
      <c r="Z13" s="3" t="s">
        <v>53</v>
      </c>
      <c r="AA13" s="3" t="s">
        <v>53</v>
      </c>
      <c r="AB13" s="3" t="str">
        <f t="shared" si="1"/>
        <v>Effective</v>
      </c>
      <c r="AC13" s="3" t="str">
        <f t="shared" si="2"/>
        <v>Low</v>
      </c>
      <c r="AD13" s="3">
        <f t="shared" si="3"/>
        <v>3</v>
      </c>
      <c r="AE13" s="3">
        <f t="shared" si="4"/>
        <v>3</v>
      </c>
      <c r="AF13" s="3" t="s">
        <v>59</v>
      </c>
      <c r="AG13" s="3"/>
      <c r="AH13" s="3"/>
      <c r="AI13" s="3"/>
      <c r="AJ13" s="3"/>
      <c r="AK13" s="3"/>
      <c r="AL13" s="3" t="s">
        <v>60</v>
      </c>
      <c r="AM13" s="3" t="str">
        <f t="shared" si="5"/>
        <v>Must Have</v>
      </c>
    </row>
    <row r="14" spans="1:39" ht="108" customHeight="1" x14ac:dyDescent="0.35">
      <c r="A14" s="4">
        <v>13</v>
      </c>
      <c r="B14" s="3" t="s">
        <v>39</v>
      </c>
      <c r="C14" s="3" t="s">
        <v>111</v>
      </c>
      <c r="D14" s="3" t="s">
        <v>112</v>
      </c>
      <c r="E14" s="3" t="s">
        <v>113</v>
      </c>
      <c r="F14" s="3" t="s">
        <v>114</v>
      </c>
      <c r="G14" s="3" t="s">
        <v>43</v>
      </c>
      <c r="H14" s="3" t="s">
        <v>115</v>
      </c>
      <c r="I14" s="4">
        <v>13</v>
      </c>
      <c r="J14" s="3" t="s">
        <v>181</v>
      </c>
      <c r="K14" s="3" t="s">
        <v>182</v>
      </c>
      <c r="L14" s="3" t="s">
        <v>183</v>
      </c>
      <c r="M14" s="3" t="s">
        <v>184</v>
      </c>
      <c r="N14" s="3" t="s">
        <v>185</v>
      </c>
      <c r="O14" s="3" t="s">
        <v>186</v>
      </c>
      <c r="P14" s="3" t="s">
        <v>122</v>
      </c>
      <c r="Q14" s="3" t="s">
        <v>52</v>
      </c>
      <c r="R14" s="3" t="s">
        <v>53</v>
      </c>
      <c r="S14" s="3" t="s">
        <v>187</v>
      </c>
      <c r="T14" s="3" t="s">
        <v>108</v>
      </c>
      <c r="U14" s="3" t="s">
        <v>188</v>
      </c>
      <c r="V14" s="3" t="s">
        <v>189</v>
      </c>
      <c r="W14" s="3" t="s">
        <v>58</v>
      </c>
      <c r="X14" s="3">
        <f t="shared" si="0"/>
        <v>3</v>
      </c>
      <c r="Y14" s="3" t="s">
        <v>53</v>
      </c>
      <c r="Z14" s="3" t="s">
        <v>53</v>
      </c>
      <c r="AA14" s="3" t="s">
        <v>53</v>
      </c>
      <c r="AB14" s="3" t="str">
        <f t="shared" si="1"/>
        <v>Effective</v>
      </c>
      <c r="AC14" s="3" t="str">
        <f t="shared" si="2"/>
        <v>Low</v>
      </c>
      <c r="AD14" s="3">
        <f t="shared" si="3"/>
        <v>3</v>
      </c>
      <c r="AE14" s="3">
        <f t="shared" si="4"/>
        <v>3</v>
      </c>
      <c r="AF14" s="3" t="s">
        <v>59</v>
      </c>
      <c r="AG14" s="3"/>
      <c r="AH14" s="3"/>
      <c r="AI14" s="3"/>
      <c r="AJ14" s="3"/>
      <c r="AK14" s="3"/>
      <c r="AL14" s="3" t="s">
        <v>60</v>
      </c>
      <c r="AM14" s="3" t="str">
        <f t="shared" si="5"/>
        <v>Must Have</v>
      </c>
    </row>
    <row r="15" spans="1:39" ht="108" customHeight="1" x14ac:dyDescent="0.35">
      <c r="A15" s="4">
        <v>14</v>
      </c>
      <c r="B15" s="3" t="s">
        <v>39</v>
      </c>
      <c r="C15" s="3" t="s">
        <v>111</v>
      </c>
      <c r="D15" s="3" t="s">
        <v>112</v>
      </c>
      <c r="E15" s="3" t="s">
        <v>113</v>
      </c>
      <c r="F15" s="3" t="s">
        <v>42</v>
      </c>
      <c r="G15" s="3" t="s">
        <v>43</v>
      </c>
      <c r="H15" s="3" t="s">
        <v>115</v>
      </c>
      <c r="I15" s="4">
        <v>14</v>
      </c>
      <c r="J15" s="3" t="s">
        <v>190</v>
      </c>
      <c r="K15" s="3" t="s">
        <v>191</v>
      </c>
      <c r="L15" s="3" t="s">
        <v>192</v>
      </c>
      <c r="M15" s="3" t="s">
        <v>193</v>
      </c>
      <c r="N15" s="3" t="s">
        <v>194</v>
      </c>
      <c r="O15" s="3" t="s">
        <v>195</v>
      </c>
      <c r="P15" s="3" t="s">
        <v>51</v>
      </c>
      <c r="Q15" s="3" t="s">
        <v>153</v>
      </c>
      <c r="R15" s="3" t="s">
        <v>53</v>
      </c>
      <c r="S15" s="3" t="s">
        <v>196</v>
      </c>
      <c r="T15" s="3" t="s">
        <v>197</v>
      </c>
      <c r="U15" s="3" t="s">
        <v>198</v>
      </c>
      <c r="V15" s="3" t="s">
        <v>199</v>
      </c>
      <c r="W15" s="3" t="s">
        <v>58</v>
      </c>
      <c r="X15" s="3">
        <f t="shared" si="0"/>
        <v>3</v>
      </c>
      <c r="Y15" s="3" t="s">
        <v>53</v>
      </c>
      <c r="Z15" s="3" t="s">
        <v>53</v>
      </c>
      <c r="AA15" s="3" t="s">
        <v>53</v>
      </c>
      <c r="AB15" s="3" t="str">
        <f t="shared" si="1"/>
        <v>Effective</v>
      </c>
      <c r="AC15" s="3" t="str">
        <f t="shared" si="2"/>
        <v>Low</v>
      </c>
      <c r="AD15" s="3">
        <f t="shared" si="3"/>
        <v>3</v>
      </c>
      <c r="AE15" s="3">
        <f t="shared" si="4"/>
        <v>3</v>
      </c>
      <c r="AF15" s="3" t="s">
        <v>59</v>
      </c>
      <c r="AG15" s="3"/>
      <c r="AH15" s="3"/>
      <c r="AI15" s="3"/>
      <c r="AJ15" s="3"/>
      <c r="AK15" s="3"/>
      <c r="AL15" s="3" t="s">
        <v>60</v>
      </c>
      <c r="AM15" s="3" t="str">
        <f t="shared" si="5"/>
        <v>Must Have</v>
      </c>
    </row>
    <row r="16" spans="1:39" ht="108" customHeight="1" x14ac:dyDescent="0.35">
      <c r="A16" s="4">
        <v>15</v>
      </c>
      <c r="B16" s="3" t="s">
        <v>39</v>
      </c>
      <c r="C16" s="3" t="s">
        <v>111</v>
      </c>
      <c r="D16" s="3" t="s">
        <v>112</v>
      </c>
      <c r="E16" s="3" t="s">
        <v>113</v>
      </c>
      <c r="F16" s="3" t="s">
        <v>114</v>
      </c>
      <c r="G16" s="3" t="s">
        <v>43</v>
      </c>
      <c r="H16" s="3" t="s">
        <v>115</v>
      </c>
      <c r="I16" s="4">
        <v>15</v>
      </c>
      <c r="J16" s="3" t="s">
        <v>200</v>
      </c>
      <c r="K16" s="3" t="s">
        <v>201</v>
      </c>
      <c r="L16" s="3" t="s">
        <v>202</v>
      </c>
      <c r="M16" s="3" t="s">
        <v>203</v>
      </c>
      <c r="N16" s="3" t="s">
        <v>204</v>
      </c>
      <c r="O16" s="3" t="s">
        <v>205</v>
      </c>
      <c r="P16" s="3" t="s">
        <v>206</v>
      </c>
      <c r="Q16" s="3" t="s">
        <v>153</v>
      </c>
      <c r="R16" s="3" t="s">
        <v>53</v>
      </c>
      <c r="S16" s="3" t="s">
        <v>207</v>
      </c>
      <c r="T16" s="3" t="s">
        <v>208</v>
      </c>
      <c r="U16" s="3" t="s">
        <v>209</v>
      </c>
      <c r="V16" s="3" t="s">
        <v>210</v>
      </c>
      <c r="W16" s="3" t="s">
        <v>58</v>
      </c>
      <c r="X16" s="3">
        <f t="shared" si="0"/>
        <v>3</v>
      </c>
      <c r="Y16" s="3" t="s">
        <v>53</v>
      </c>
      <c r="Z16" s="3" t="s">
        <v>53</v>
      </c>
      <c r="AA16" s="3" t="s">
        <v>53</v>
      </c>
      <c r="AB16" s="3" t="str">
        <f t="shared" si="1"/>
        <v>Effective</v>
      </c>
      <c r="AC16" s="3" t="str">
        <f t="shared" si="2"/>
        <v>Low</v>
      </c>
      <c r="AD16" s="3">
        <f t="shared" si="3"/>
        <v>3</v>
      </c>
      <c r="AE16" s="3">
        <f t="shared" si="4"/>
        <v>3</v>
      </c>
      <c r="AF16" s="3" t="s">
        <v>59</v>
      </c>
      <c r="AG16" s="3"/>
      <c r="AH16" s="3"/>
      <c r="AI16" s="3"/>
      <c r="AJ16" s="3"/>
      <c r="AK16" s="3"/>
      <c r="AL16" s="3" t="s">
        <v>60</v>
      </c>
      <c r="AM16" s="3" t="str">
        <f t="shared" si="5"/>
        <v>Must Have</v>
      </c>
    </row>
    <row r="17" spans="1:39" ht="108" customHeight="1" x14ac:dyDescent="0.35">
      <c r="A17" s="4">
        <v>16</v>
      </c>
      <c r="B17" s="3" t="s">
        <v>39</v>
      </c>
      <c r="C17" s="3" t="s">
        <v>111</v>
      </c>
      <c r="D17" s="3" t="s">
        <v>112</v>
      </c>
      <c r="E17" s="3" t="s">
        <v>113</v>
      </c>
      <c r="F17" s="3" t="s">
        <v>114</v>
      </c>
      <c r="G17" s="3" t="s">
        <v>43</v>
      </c>
      <c r="H17" s="3" t="s">
        <v>115</v>
      </c>
      <c r="I17" s="4">
        <v>16</v>
      </c>
      <c r="J17" s="3" t="s">
        <v>211</v>
      </c>
      <c r="K17" s="3" t="s">
        <v>212</v>
      </c>
      <c r="L17" s="3" t="s">
        <v>213</v>
      </c>
      <c r="M17" s="3" t="s">
        <v>214</v>
      </c>
      <c r="N17" s="3" t="s">
        <v>215</v>
      </c>
      <c r="O17" s="3" t="s">
        <v>216</v>
      </c>
      <c r="P17" s="3" t="s">
        <v>206</v>
      </c>
      <c r="Q17" s="3" t="s">
        <v>52</v>
      </c>
      <c r="R17" s="3" t="s">
        <v>53</v>
      </c>
      <c r="S17" s="3" t="s">
        <v>217</v>
      </c>
      <c r="T17" s="3" t="s">
        <v>218</v>
      </c>
      <c r="U17" s="3" t="s">
        <v>219</v>
      </c>
      <c r="V17" s="3" t="s">
        <v>220</v>
      </c>
      <c r="W17" s="3" t="s">
        <v>58</v>
      </c>
      <c r="X17" s="3">
        <f t="shared" si="0"/>
        <v>3</v>
      </c>
      <c r="Y17" s="3" t="s">
        <v>53</v>
      </c>
      <c r="Z17" s="3" t="s">
        <v>53</v>
      </c>
      <c r="AA17" s="3" t="s">
        <v>53</v>
      </c>
      <c r="AB17" s="3" t="str">
        <f t="shared" si="1"/>
        <v>Effective</v>
      </c>
      <c r="AC17" s="3" t="str">
        <f t="shared" si="2"/>
        <v>Low</v>
      </c>
      <c r="AD17" s="3">
        <f t="shared" si="3"/>
        <v>3</v>
      </c>
      <c r="AE17" s="3">
        <f t="shared" si="4"/>
        <v>3</v>
      </c>
      <c r="AF17" s="3" t="s">
        <v>59</v>
      </c>
      <c r="AG17" s="3"/>
      <c r="AH17" s="3"/>
      <c r="AI17" s="3"/>
      <c r="AJ17" s="3"/>
      <c r="AK17" s="3"/>
      <c r="AL17" s="3" t="s">
        <v>60</v>
      </c>
      <c r="AM17" s="3" t="str">
        <f t="shared" si="5"/>
        <v>Must Have</v>
      </c>
    </row>
    <row r="18" spans="1:39" ht="108" customHeight="1" x14ac:dyDescent="0.35">
      <c r="A18" s="4">
        <v>17</v>
      </c>
      <c r="B18" s="3" t="s">
        <v>39</v>
      </c>
      <c r="C18" s="3" t="s">
        <v>111</v>
      </c>
      <c r="D18" s="3" t="s">
        <v>112</v>
      </c>
      <c r="E18" s="3" t="s">
        <v>113</v>
      </c>
      <c r="F18" s="3" t="s">
        <v>42</v>
      </c>
      <c r="G18" s="3" t="s">
        <v>43</v>
      </c>
      <c r="H18" s="3" t="s">
        <v>115</v>
      </c>
      <c r="I18" s="4">
        <v>17</v>
      </c>
      <c r="J18" s="3" t="s">
        <v>221</v>
      </c>
      <c r="K18" s="3" t="s">
        <v>222</v>
      </c>
      <c r="L18" s="3" t="s">
        <v>223</v>
      </c>
      <c r="M18" s="3" t="s">
        <v>224</v>
      </c>
      <c r="N18" s="3" t="s">
        <v>225</v>
      </c>
      <c r="O18" s="3" t="s">
        <v>226</v>
      </c>
      <c r="P18" s="3" t="s">
        <v>206</v>
      </c>
      <c r="Q18" s="3" t="s">
        <v>52</v>
      </c>
      <c r="R18" s="3" t="s">
        <v>53</v>
      </c>
      <c r="S18" s="3" t="s">
        <v>227</v>
      </c>
      <c r="T18" s="3" t="s">
        <v>228</v>
      </c>
      <c r="U18" s="3" t="s">
        <v>229</v>
      </c>
      <c r="V18" s="3" t="s">
        <v>230</v>
      </c>
      <c r="W18" s="3" t="s">
        <v>58</v>
      </c>
      <c r="X18" s="3">
        <f t="shared" si="0"/>
        <v>3</v>
      </c>
      <c r="Y18" s="3" t="s">
        <v>53</v>
      </c>
      <c r="Z18" s="3" t="s">
        <v>53</v>
      </c>
      <c r="AA18" s="3" t="s">
        <v>53</v>
      </c>
      <c r="AB18" s="3" t="str">
        <f t="shared" si="1"/>
        <v>Effective</v>
      </c>
      <c r="AC18" s="3" t="str">
        <f t="shared" si="2"/>
        <v>Low</v>
      </c>
      <c r="AD18" s="3">
        <f t="shared" si="3"/>
        <v>3</v>
      </c>
      <c r="AE18" s="3">
        <f t="shared" si="4"/>
        <v>3</v>
      </c>
      <c r="AF18" s="3" t="s">
        <v>59</v>
      </c>
      <c r="AG18" s="3"/>
      <c r="AH18" s="3"/>
      <c r="AI18" s="3"/>
      <c r="AJ18" s="3"/>
      <c r="AK18" s="3"/>
      <c r="AL18" s="3" t="s">
        <v>60</v>
      </c>
      <c r="AM18" s="3" t="str">
        <f t="shared" si="5"/>
        <v>Must Have</v>
      </c>
    </row>
    <row r="19" spans="1:39" ht="108" customHeight="1" x14ac:dyDescent="0.35">
      <c r="A19" s="4">
        <v>18</v>
      </c>
      <c r="B19" s="3" t="s">
        <v>39</v>
      </c>
      <c r="C19" s="3" t="s">
        <v>111</v>
      </c>
      <c r="D19" s="3" t="s">
        <v>112</v>
      </c>
      <c r="E19" s="3" t="s">
        <v>113</v>
      </c>
      <c r="F19" s="3" t="s">
        <v>42</v>
      </c>
      <c r="G19" s="3" t="s">
        <v>43</v>
      </c>
      <c r="H19" s="3" t="s">
        <v>115</v>
      </c>
      <c r="I19" s="4">
        <v>18</v>
      </c>
      <c r="J19" s="3" t="s">
        <v>231</v>
      </c>
      <c r="K19" s="3" t="s">
        <v>232</v>
      </c>
      <c r="L19" s="3" t="s">
        <v>233</v>
      </c>
      <c r="M19" s="3" t="s">
        <v>234</v>
      </c>
      <c r="N19" s="3" t="s">
        <v>235</v>
      </c>
      <c r="O19" s="3" t="s">
        <v>236</v>
      </c>
      <c r="P19" s="3" t="s">
        <v>122</v>
      </c>
      <c r="Q19" s="3" t="s">
        <v>52</v>
      </c>
      <c r="R19" s="3" t="s">
        <v>53</v>
      </c>
      <c r="S19" s="3" t="s">
        <v>237</v>
      </c>
      <c r="T19" s="3" t="s">
        <v>238</v>
      </c>
      <c r="U19" s="3" t="s">
        <v>239</v>
      </c>
      <c r="V19" s="3" t="s">
        <v>240</v>
      </c>
      <c r="W19" s="3" t="s">
        <v>58</v>
      </c>
      <c r="X19" s="3">
        <f t="shared" si="0"/>
        <v>3</v>
      </c>
      <c r="Y19" s="3" t="s">
        <v>53</v>
      </c>
      <c r="Z19" s="3" t="s">
        <v>53</v>
      </c>
      <c r="AA19" s="3" t="s">
        <v>53</v>
      </c>
      <c r="AB19" s="3" t="str">
        <f t="shared" si="1"/>
        <v>Effective</v>
      </c>
      <c r="AC19" s="3" t="str">
        <f t="shared" si="2"/>
        <v>Low</v>
      </c>
      <c r="AD19" s="3">
        <f t="shared" si="3"/>
        <v>3</v>
      </c>
      <c r="AE19" s="3">
        <f t="shared" si="4"/>
        <v>3</v>
      </c>
      <c r="AF19" s="3" t="s">
        <v>59</v>
      </c>
      <c r="AG19" s="3"/>
      <c r="AH19" s="3"/>
      <c r="AI19" s="3"/>
      <c r="AJ19" s="3"/>
      <c r="AK19" s="3"/>
      <c r="AL19" s="3" t="s">
        <v>60</v>
      </c>
      <c r="AM19" s="3" t="str">
        <f t="shared" si="5"/>
        <v>Must Have</v>
      </c>
    </row>
    <row r="20" spans="1:39" ht="108" customHeight="1" x14ac:dyDescent="0.35">
      <c r="A20" s="4">
        <v>19</v>
      </c>
      <c r="B20" s="3" t="s">
        <v>39</v>
      </c>
      <c r="C20" s="3" t="s">
        <v>111</v>
      </c>
      <c r="D20" s="3" t="s">
        <v>112</v>
      </c>
      <c r="E20" s="3" t="s">
        <v>113</v>
      </c>
      <c r="F20" s="3" t="s">
        <v>114</v>
      </c>
      <c r="G20" s="3" t="s">
        <v>43</v>
      </c>
      <c r="H20" s="3" t="s">
        <v>115</v>
      </c>
      <c r="I20" s="4">
        <v>19</v>
      </c>
      <c r="J20" s="3" t="s">
        <v>241</v>
      </c>
      <c r="K20" s="3" t="s">
        <v>242</v>
      </c>
      <c r="L20" s="3" t="s">
        <v>243</v>
      </c>
      <c r="M20" s="3" t="s">
        <v>244</v>
      </c>
      <c r="N20" s="3" t="s">
        <v>245</v>
      </c>
      <c r="O20" s="3" t="s">
        <v>246</v>
      </c>
      <c r="P20" s="3" t="s">
        <v>122</v>
      </c>
      <c r="Q20" s="3" t="s">
        <v>52</v>
      </c>
      <c r="R20" s="3" t="s">
        <v>53</v>
      </c>
      <c r="S20" s="3" t="s">
        <v>217</v>
      </c>
      <c r="T20" s="3" t="s">
        <v>247</v>
      </c>
      <c r="U20" s="3" t="s">
        <v>248</v>
      </c>
      <c r="V20" s="3" t="s">
        <v>249</v>
      </c>
      <c r="W20" s="3" t="s">
        <v>58</v>
      </c>
      <c r="X20" s="3">
        <f t="shared" si="0"/>
        <v>3</v>
      </c>
      <c r="Y20" s="3" t="s">
        <v>53</v>
      </c>
      <c r="Z20" s="3" t="s">
        <v>53</v>
      </c>
      <c r="AA20" s="3" t="s">
        <v>53</v>
      </c>
      <c r="AB20" s="3" t="str">
        <f t="shared" si="1"/>
        <v>Effective</v>
      </c>
      <c r="AC20" s="3" t="str">
        <f t="shared" si="2"/>
        <v>Low</v>
      </c>
      <c r="AD20" s="3">
        <f t="shared" si="3"/>
        <v>3</v>
      </c>
      <c r="AE20" s="3">
        <f t="shared" si="4"/>
        <v>3</v>
      </c>
      <c r="AF20" s="3" t="s">
        <v>59</v>
      </c>
      <c r="AG20" s="3"/>
      <c r="AH20" s="3"/>
      <c r="AI20" s="3"/>
      <c r="AJ20" s="3"/>
      <c r="AK20" s="3"/>
      <c r="AL20" s="3" t="s">
        <v>60</v>
      </c>
      <c r="AM20" s="3" t="str">
        <f t="shared" si="5"/>
        <v>Must Have</v>
      </c>
    </row>
    <row r="21" spans="1:39" ht="108" customHeight="1" x14ac:dyDescent="0.35">
      <c r="A21" s="4">
        <v>20</v>
      </c>
      <c r="B21" s="3" t="s">
        <v>39</v>
      </c>
      <c r="C21" s="3" t="s">
        <v>111</v>
      </c>
      <c r="D21" s="3" t="s">
        <v>112</v>
      </c>
      <c r="E21" s="3" t="s">
        <v>113</v>
      </c>
      <c r="F21" s="3" t="s">
        <v>114</v>
      </c>
      <c r="G21" s="3" t="s">
        <v>43</v>
      </c>
      <c r="H21" s="3" t="s">
        <v>115</v>
      </c>
      <c r="I21" s="4">
        <v>20</v>
      </c>
      <c r="J21" s="3" t="s">
        <v>250</v>
      </c>
      <c r="K21" s="3" t="s">
        <v>251</v>
      </c>
      <c r="L21" s="3" t="s">
        <v>252</v>
      </c>
      <c r="M21" s="3" t="s">
        <v>253</v>
      </c>
      <c r="N21" s="3" t="s">
        <v>254</v>
      </c>
      <c r="O21" s="3" t="s">
        <v>255</v>
      </c>
      <c r="P21" s="3" t="s">
        <v>122</v>
      </c>
      <c r="Q21" s="3" t="s">
        <v>52</v>
      </c>
      <c r="R21" s="3" t="s">
        <v>53</v>
      </c>
      <c r="S21" s="3" t="s">
        <v>217</v>
      </c>
      <c r="T21" s="3" t="s">
        <v>108</v>
      </c>
      <c r="U21" s="3" t="s">
        <v>256</v>
      </c>
      <c r="V21" s="3" t="s">
        <v>257</v>
      </c>
      <c r="W21" s="3" t="s">
        <v>58</v>
      </c>
      <c r="X21" s="3">
        <f t="shared" si="0"/>
        <v>3</v>
      </c>
      <c r="Y21" s="3" t="s">
        <v>53</v>
      </c>
      <c r="Z21" s="3" t="s">
        <v>53</v>
      </c>
      <c r="AA21" s="3" t="s">
        <v>53</v>
      </c>
      <c r="AB21" s="3" t="str">
        <f t="shared" si="1"/>
        <v>Effective</v>
      </c>
      <c r="AC21" s="3" t="str">
        <f t="shared" si="2"/>
        <v>Low</v>
      </c>
      <c r="AD21" s="3">
        <f t="shared" si="3"/>
        <v>3</v>
      </c>
      <c r="AE21" s="3">
        <f t="shared" si="4"/>
        <v>3</v>
      </c>
      <c r="AF21" s="3" t="s">
        <v>59</v>
      </c>
      <c r="AG21" s="3"/>
      <c r="AH21" s="3"/>
      <c r="AI21" s="3"/>
      <c r="AJ21" s="3"/>
      <c r="AK21" s="3"/>
      <c r="AL21" s="3" t="s">
        <v>60</v>
      </c>
      <c r="AM21" s="3" t="str">
        <f t="shared" si="5"/>
        <v>Must Have</v>
      </c>
    </row>
    <row r="22" spans="1:39" ht="108" customHeight="1" x14ac:dyDescent="0.35">
      <c r="A22" s="4">
        <v>21</v>
      </c>
      <c r="B22" s="3" t="s">
        <v>39</v>
      </c>
      <c r="C22" s="3" t="s">
        <v>111</v>
      </c>
      <c r="D22" s="3" t="s">
        <v>112</v>
      </c>
      <c r="E22" s="3" t="s">
        <v>113</v>
      </c>
      <c r="F22" s="3" t="s">
        <v>42</v>
      </c>
      <c r="G22" s="3" t="s">
        <v>43</v>
      </c>
      <c r="H22" s="3" t="s">
        <v>115</v>
      </c>
      <c r="I22" s="4">
        <v>21</v>
      </c>
      <c r="J22" s="3" t="s">
        <v>258</v>
      </c>
      <c r="K22" s="3" t="s">
        <v>259</v>
      </c>
      <c r="L22" s="3" t="s">
        <v>260</v>
      </c>
      <c r="M22" s="3" t="s">
        <v>261</v>
      </c>
      <c r="N22" s="3" t="s">
        <v>262</v>
      </c>
      <c r="O22" s="3" t="s">
        <v>263</v>
      </c>
      <c r="P22" s="3" t="s">
        <v>122</v>
      </c>
      <c r="Q22" s="3" t="s">
        <v>153</v>
      </c>
      <c r="R22" s="3" t="s">
        <v>154</v>
      </c>
      <c r="S22" s="3" t="s">
        <v>155</v>
      </c>
      <c r="T22" s="3" t="s">
        <v>264</v>
      </c>
      <c r="U22" s="3" t="s">
        <v>265</v>
      </c>
      <c r="V22" s="3" t="s">
        <v>266</v>
      </c>
      <c r="W22" s="3" t="s">
        <v>159</v>
      </c>
      <c r="X22" s="3">
        <f t="shared" si="0"/>
        <v>2</v>
      </c>
      <c r="Y22" s="3" t="s">
        <v>53</v>
      </c>
      <c r="Z22" s="3" t="s">
        <v>53</v>
      </c>
      <c r="AA22" s="3" t="s">
        <v>53</v>
      </c>
      <c r="AB22" s="3" t="str">
        <f t="shared" si="1"/>
        <v>Effective</v>
      </c>
      <c r="AC22" s="3" t="str">
        <f t="shared" si="2"/>
        <v>Low</v>
      </c>
      <c r="AD22" s="3">
        <f t="shared" si="3"/>
        <v>2</v>
      </c>
      <c r="AE22" s="3">
        <f t="shared" si="4"/>
        <v>2</v>
      </c>
      <c r="AF22" s="3" t="s">
        <v>59</v>
      </c>
      <c r="AG22" s="3"/>
      <c r="AH22" s="3"/>
      <c r="AI22" s="3"/>
      <c r="AJ22" s="3"/>
      <c r="AK22" s="3"/>
      <c r="AL22" s="3" t="s">
        <v>60</v>
      </c>
      <c r="AM22" s="3" t="str">
        <f t="shared" si="5"/>
        <v>Should Have</v>
      </c>
    </row>
    <row r="23" spans="1:39" ht="108" customHeight="1" x14ac:dyDescent="0.35">
      <c r="A23" s="4">
        <v>22</v>
      </c>
      <c r="B23" s="3" t="s">
        <v>39</v>
      </c>
      <c r="C23" s="3" t="s">
        <v>267</v>
      </c>
      <c r="D23" s="3" t="s">
        <v>268</v>
      </c>
      <c r="E23" s="3" t="s">
        <v>268</v>
      </c>
      <c r="F23" s="3" t="s">
        <v>42</v>
      </c>
      <c r="G23" s="3" t="s">
        <v>43</v>
      </c>
      <c r="H23" s="3" t="s">
        <v>269</v>
      </c>
      <c r="I23" s="4">
        <v>22</v>
      </c>
      <c r="J23" s="3" t="s">
        <v>270</v>
      </c>
      <c r="K23" s="3" t="s">
        <v>271</v>
      </c>
      <c r="L23" s="3" t="s">
        <v>272</v>
      </c>
      <c r="M23" s="3" t="s">
        <v>273</v>
      </c>
      <c r="N23" s="3" t="s">
        <v>274</v>
      </c>
      <c r="O23" s="3" t="s">
        <v>275</v>
      </c>
      <c r="P23" s="3" t="s">
        <v>51</v>
      </c>
      <c r="Q23" s="3" t="s">
        <v>52</v>
      </c>
      <c r="R23" s="3" t="s">
        <v>53</v>
      </c>
      <c r="S23" s="3" t="s">
        <v>276</v>
      </c>
      <c r="T23" s="3" t="s">
        <v>68</v>
      </c>
      <c r="U23" s="3" t="s">
        <v>277</v>
      </c>
      <c r="V23" s="3" t="s">
        <v>278</v>
      </c>
      <c r="W23" s="3" t="s">
        <v>58</v>
      </c>
      <c r="X23" s="3">
        <f t="shared" si="0"/>
        <v>3</v>
      </c>
      <c r="Y23" s="3" t="s">
        <v>53</v>
      </c>
      <c r="Z23" s="3" t="s">
        <v>53</v>
      </c>
      <c r="AA23" s="3" t="s">
        <v>53</v>
      </c>
      <c r="AB23" s="3" t="str">
        <f t="shared" si="1"/>
        <v>Effective</v>
      </c>
      <c r="AC23" s="3" t="str">
        <f t="shared" si="2"/>
        <v>Low</v>
      </c>
      <c r="AD23" s="3">
        <f t="shared" si="3"/>
        <v>3</v>
      </c>
      <c r="AE23" s="3">
        <f t="shared" si="4"/>
        <v>3</v>
      </c>
      <c r="AF23" s="3" t="s">
        <v>59</v>
      </c>
      <c r="AG23" s="3"/>
      <c r="AH23" s="3"/>
      <c r="AI23" s="3"/>
      <c r="AJ23" s="3"/>
      <c r="AK23" s="3"/>
      <c r="AL23" s="3" t="s">
        <v>60</v>
      </c>
      <c r="AM23" s="3" t="str">
        <f t="shared" si="5"/>
        <v>Must Have</v>
      </c>
    </row>
    <row r="24" spans="1:39" ht="108" customHeight="1" x14ac:dyDescent="0.35">
      <c r="A24" s="4">
        <v>23</v>
      </c>
      <c r="B24" s="3" t="s">
        <v>39</v>
      </c>
      <c r="C24" s="3" t="s">
        <v>267</v>
      </c>
      <c r="D24" s="3" t="s">
        <v>268</v>
      </c>
      <c r="E24" s="3" t="s">
        <v>268</v>
      </c>
      <c r="F24" s="3" t="s">
        <v>42</v>
      </c>
      <c r="G24" s="3" t="s">
        <v>43</v>
      </c>
      <c r="H24" s="3" t="s">
        <v>269</v>
      </c>
      <c r="I24" s="4">
        <v>23</v>
      </c>
      <c r="J24" s="3" t="s">
        <v>279</v>
      </c>
      <c r="K24" s="3" t="s">
        <v>280</v>
      </c>
      <c r="L24" s="3" t="s">
        <v>281</v>
      </c>
      <c r="M24" s="3" t="s">
        <v>282</v>
      </c>
      <c r="N24" s="3" t="s">
        <v>283</v>
      </c>
      <c r="O24" s="3" t="s">
        <v>284</v>
      </c>
      <c r="P24" s="3" t="s">
        <v>51</v>
      </c>
      <c r="Q24" s="3" t="s">
        <v>52</v>
      </c>
      <c r="R24" s="3" t="s">
        <v>53</v>
      </c>
      <c r="S24" s="3" t="s">
        <v>285</v>
      </c>
      <c r="T24" s="3" t="s">
        <v>55</v>
      </c>
      <c r="U24" s="3" t="s">
        <v>286</v>
      </c>
      <c r="V24" s="3" t="s">
        <v>287</v>
      </c>
      <c r="W24" s="3" t="s">
        <v>58</v>
      </c>
      <c r="X24" s="3">
        <f t="shared" si="0"/>
        <v>3</v>
      </c>
      <c r="Y24" s="3" t="s">
        <v>53</v>
      </c>
      <c r="Z24" s="3" t="s">
        <v>53</v>
      </c>
      <c r="AA24" s="3" t="s">
        <v>53</v>
      </c>
      <c r="AB24" s="3" t="str">
        <f t="shared" si="1"/>
        <v>Effective</v>
      </c>
      <c r="AC24" s="3" t="str">
        <f t="shared" si="2"/>
        <v>Low</v>
      </c>
      <c r="AD24" s="3">
        <f t="shared" si="3"/>
        <v>3</v>
      </c>
      <c r="AE24" s="3">
        <f t="shared" si="4"/>
        <v>3</v>
      </c>
      <c r="AF24" s="3" t="s">
        <v>59</v>
      </c>
      <c r="AG24" s="3"/>
      <c r="AH24" s="3"/>
      <c r="AI24" s="3"/>
      <c r="AJ24" s="3"/>
      <c r="AK24" s="3"/>
      <c r="AL24" s="3" t="s">
        <v>60</v>
      </c>
      <c r="AM24" s="3" t="str">
        <f t="shared" si="5"/>
        <v>Must Have</v>
      </c>
    </row>
    <row r="25" spans="1:39" ht="108" customHeight="1" x14ac:dyDescent="0.35">
      <c r="A25" s="4">
        <v>24</v>
      </c>
      <c r="B25" s="3" t="s">
        <v>39</v>
      </c>
      <c r="C25" s="3" t="s">
        <v>267</v>
      </c>
      <c r="D25" s="3" t="s">
        <v>268</v>
      </c>
      <c r="E25" s="3" t="s">
        <v>268</v>
      </c>
      <c r="F25" s="3" t="s">
        <v>42</v>
      </c>
      <c r="G25" s="3" t="s">
        <v>43</v>
      </c>
      <c r="H25" s="3" t="s">
        <v>269</v>
      </c>
      <c r="I25" s="4">
        <v>24</v>
      </c>
      <c r="J25" s="3" t="s">
        <v>288</v>
      </c>
      <c r="K25" s="3" t="s">
        <v>289</v>
      </c>
      <c r="L25" s="3" t="s">
        <v>290</v>
      </c>
      <c r="M25" s="3" t="s">
        <v>291</v>
      </c>
      <c r="N25" s="3" t="s">
        <v>292</v>
      </c>
      <c r="O25" s="3" t="s">
        <v>293</v>
      </c>
      <c r="P25" s="3" t="s">
        <v>51</v>
      </c>
      <c r="Q25" s="3" t="s">
        <v>52</v>
      </c>
      <c r="R25" s="3" t="s">
        <v>53</v>
      </c>
      <c r="S25" s="3" t="s">
        <v>294</v>
      </c>
      <c r="T25" s="3" t="s">
        <v>295</v>
      </c>
      <c r="U25" s="3" t="s">
        <v>296</v>
      </c>
      <c r="V25" s="3" t="s">
        <v>297</v>
      </c>
      <c r="W25" s="3" t="s">
        <v>58</v>
      </c>
      <c r="X25" s="3">
        <f t="shared" si="0"/>
        <v>3</v>
      </c>
      <c r="Y25" s="3" t="s">
        <v>53</v>
      </c>
      <c r="Z25" s="3" t="s">
        <v>53</v>
      </c>
      <c r="AA25" s="3" t="s">
        <v>53</v>
      </c>
      <c r="AB25" s="3" t="str">
        <f t="shared" si="1"/>
        <v>Effective</v>
      </c>
      <c r="AC25" s="3" t="str">
        <f t="shared" si="2"/>
        <v>Low</v>
      </c>
      <c r="AD25" s="3">
        <f t="shared" si="3"/>
        <v>3</v>
      </c>
      <c r="AE25" s="3">
        <f t="shared" si="4"/>
        <v>3</v>
      </c>
      <c r="AF25" s="3" t="s">
        <v>59</v>
      </c>
      <c r="AG25" s="3"/>
      <c r="AH25" s="3"/>
      <c r="AI25" s="3"/>
      <c r="AJ25" s="3"/>
      <c r="AK25" s="3"/>
      <c r="AL25" s="3" t="s">
        <v>60</v>
      </c>
      <c r="AM25" s="3" t="str">
        <f t="shared" si="5"/>
        <v>Must Have</v>
      </c>
    </row>
    <row r="26" spans="1:39" ht="108" customHeight="1" x14ac:dyDescent="0.35">
      <c r="A26" s="4">
        <v>25</v>
      </c>
      <c r="B26" s="3" t="s">
        <v>39</v>
      </c>
      <c r="C26" s="3" t="s">
        <v>267</v>
      </c>
      <c r="D26" s="3" t="s">
        <v>268</v>
      </c>
      <c r="E26" s="3" t="s">
        <v>268</v>
      </c>
      <c r="F26" s="3" t="s">
        <v>42</v>
      </c>
      <c r="G26" s="3" t="s">
        <v>43</v>
      </c>
      <c r="H26" s="3" t="s">
        <v>269</v>
      </c>
      <c r="I26" s="4">
        <v>25</v>
      </c>
      <c r="J26" s="3" t="s">
        <v>298</v>
      </c>
      <c r="K26" s="3" t="s">
        <v>299</v>
      </c>
      <c r="L26" s="3" t="s">
        <v>300</v>
      </c>
      <c r="M26" s="3" t="s">
        <v>301</v>
      </c>
      <c r="N26" s="3" t="s">
        <v>302</v>
      </c>
      <c r="O26" s="3" t="s">
        <v>303</v>
      </c>
      <c r="P26" s="3" t="s">
        <v>51</v>
      </c>
      <c r="Q26" s="3" t="s">
        <v>52</v>
      </c>
      <c r="R26" s="3" t="s">
        <v>53</v>
      </c>
      <c r="S26" s="3" t="s">
        <v>304</v>
      </c>
      <c r="T26" s="3" t="s">
        <v>55</v>
      </c>
      <c r="U26" s="3" t="s">
        <v>305</v>
      </c>
      <c r="V26" s="3" t="s">
        <v>306</v>
      </c>
      <c r="W26" s="3" t="s">
        <v>58</v>
      </c>
      <c r="X26" s="3">
        <f t="shared" si="0"/>
        <v>3</v>
      </c>
      <c r="Y26" s="3" t="s">
        <v>53</v>
      </c>
      <c r="Z26" s="3" t="s">
        <v>53</v>
      </c>
      <c r="AA26" s="3" t="s">
        <v>53</v>
      </c>
      <c r="AB26" s="3" t="str">
        <f t="shared" si="1"/>
        <v>Effective</v>
      </c>
      <c r="AC26" s="3" t="str">
        <f t="shared" si="2"/>
        <v>Low</v>
      </c>
      <c r="AD26" s="3">
        <f t="shared" si="3"/>
        <v>3</v>
      </c>
      <c r="AE26" s="3">
        <f t="shared" si="4"/>
        <v>3</v>
      </c>
      <c r="AF26" s="3" t="s">
        <v>59</v>
      </c>
      <c r="AG26" s="3"/>
      <c r="AH26" s="3"/>
      <c r="AI26" s="3"/>
      <c r="AJ26" s="3"/>
      <c r="AK26" s="3"/>
      <c r="AL26" s="3" t="s">
        <v>60</v>
      </c>
      <c r="AM26" s="3" t="str">
        <f t="shared" si="5"/>
        <v>Must Have</v>
      </c>
    </row>
    <row r="27" spans="1:39" ht="108" customHeight="1" x14ac:dyDescent="0.35">
      <c r="A27" s="4">
        <v>26</v>
      </c>
      <c r="B27" s="3" t="s">
        <v>39</v>
      </c>
      <c r="C27" s="3" t="s">
        <v>267</v>
      </c>
      <c r="D27" s="3" t="s">
        <v>268</v>
      </c>
      <c r="E27" s="3" t="s">
        <v>268</v>
      </c>
      <c r="F27" s="3" t="s">
        <v>42</v>
      </c>
      <c r="G27" s="3" t="s">
        <v>43</v>
      </c>
      <c r="H27" s="3" t="s">
        <v>269</v>
      </c>
      <c r="I27" s="4">
        <v>26</v>
      </c>
      <c r="J27" s="3" t="s">
        <v>307</v>
      </c>
      <c r="K27" s="3" t="s">
        <v>308</v>
      </c>
      <c r="L27" s="3" t="s">
        <v>309</v>
      </c>
      <c r="M27" s="3" t="s">
        <v>310</v>
      </c>
      <c r="N27" s="3" t="s">
        <v>311</v>
      </c>
      <c r="O27" s="3" t="s">
        <v>312</v>
      </c>
      <c r="P27" s="3" t="s">
        <v>122</v>
      </c>
      <c r="Q27" s="3" t="s">
        <v>153</v>
      </c>
      <c r="R27" s="3" t="s">
        <v>53</v>
      </c>
      <c r="S27" s="3" t="s">
        <v>313</v>
      </c>
      <c r="T27" s="3" t="s">
        <v>314</v>
      </c>
      <c r="U27" s="3" t="s">
        <v>315</v>
      </c>
      <c r="V27" s="3" t="s">
        <v>316</v>
      </c>
      <c r="W27" s="3" t="s">
        <v>58</v>
      </c>
      <c r="X27" s="3">
        <f t="shared" si="0"/>
        <v>3</v>
      </c>
      <c r="Y27" s="3" t="s">
        <v>53</v>
      </c>
      <c r="Z27" s="3" t="s">
        <v>53</v>
      </c>
      <c r="AA27" s="3" t="s">
        <v>53</v>
      </c>
      <c r="AB27" s="3" t="str">
        <f t="shared" si="1"/>
        <v>Effective</v>
      </c>
      <c r="AC27" s="3" t="str">
        <f t="shared" si="2"/>
        <v>Low</v>
      </c>
      <c r="AD27" s="3">
        <f t="shared" si="3"/>
        <v>3</v>
      </c>
      <c r="AE27" s="3">
        <f t="shared" si="4"/>
        <v>3</v>
      </c>
      <c r="AF27" s="3" t="s">
        <v>59</v>
      </c>
      <c r="AG27" s="3"/>
      <c r="AH27" s="3"/>
      <c r="AI27" s="3"/>
      <c r="AJ27" s="3"/>
      <c r="AK27" s="3"/>
      <c r="AL27" s="3" t="s">
        <v>60</v>
      </c>
      <c r="AM27" s="3" t="str">
        <f t="shared" si="5"/>
        <v>Must Have</v>
      </c>
    </row>
    <row r="28" spans="1:39" ht="108" customHeight="1" x14ac:dyDescent="0.35">
      <c r="A28" s="4">
        <v>27</v>
      </c>
      <c r="B28" s="3" t="s">
        <v>39</v>
      </c>
      <c r="C28" s="3" t="s">
        <v>267</v>
      </c>
      <c r="D28" s="3" t="s">
        <v>268</v>
      </c>
      <c r="E28" s="3" t="s">
        <v>268</v>
      </c>
      <c r="F28" s="3" t="s">
        <v>42</v>
      </c>
      <c r="G28" s="3" t="s">
        <v>43</v>
      </c>
      <c r="H28" s="3" t="s">
        <v>269</v>
      </c>
      <c r="I28" s="4">
        <v>27</v>
      </c>
      <c r="J28" s="3" t="s">
        <v>317</v>
      </c>
      <c r="K28" s="3" t="s">
        <v>318</v>
      </c>
      <c r="L28" s="3" t="s">
        <v>319</v>
      </c>
      <c r="M28" s="3" t="s">
        <v>320</v>
      </c>
      <c r="N28" s="3" t="s">
        <v>321</v>
      </c>
      <c r="O28" s="3" t="s">
        <v>322</v>
      </c>
      <c r="P28" s="3" t="s">
        <v>122</v>
      </c>
      <c r="Q28" s="3" t="s">
        <v>323</v>
      </c>
      <c r="R28" s="3" t="s">
        <v>53</v>
      </c>
      <c r="S28" s="3" t="s">
        <v>324</v>
      </c>
      <c r="T28" s="3" t="s">
        <v>325</v>
      </c>
      <c r="U28" s="3" t="s">
        <v>326</v>
      </c>
      <c r="V28" s="3" t="s">
        <v>327</v>
      </c>
      <c r="W28" s="3" t="s">
        <v>58</v>
      </c>
      <c r="X28" s="3">
        <f t="shared" si="0"/>
        <v>3</v>
      </c>
      <c r="Y28" s="3" t="s">
        <v>53</v>
      </c>
      <c r="Z28" s="3" t="s">
        <v>53</v>
      </c>
      <c r="AA28" s="3" t="s">
        <v>53</v>
      </c>
      <c r="AB28" s="3" t="str">
        <f t="shared" si="1"/>
        <v>Effective</v>
      </c>
      <c r="AC28" s="3" t="str">
        <f t="shared" si="2"/>
        <v>Low</v>
      </c>
      <c r="AD28" s="3">
        <f t="shared" si="3"/>
        <v>3</v>
      </c>
      <c r="AE28" s="3">
        <f t="shared" si="4"/>
        <v>3</v>
      </c>
      <c r="AF28" s="3" t="s">
        <v>59</v>
      </c>
      <c r="AG28" s="3"/>
      <c r="AH28" s="3"/>
      <c r="AI28" s="3"/>
      <c r="AJ28" s="3"/>
      <c r="AK28" s="3"/>
      <c r="AL28" s="3" t="s">
        <v>60</v>
      </c>
      <c r="AM28" s="3" t="str">
        <f t="shared" si="5"/>
        <v>Must Have</v>
      </c>
    </row>
    <row r="29" spans="1:39" ht="108" customHeight="1" x14ac:dyDescent="0.35">
      <c r="A29" s="4">
        <v>28</v>
      </c>
      <c r="B29" s="3" t="s">
        <v>39</v>
      </c>
      <c r="C29" s="3" t="s">
        <v>328</v>
      </c>
      <c r="D29" s="3" t="s">
        <v>329</v>
      </c>
      <c r="E29" s="3" t="s">
        <v>330</v>
      </c>
      <c r="F29" s="3" t="s">
        <v>114</v>
      </c>
      <c r="G29" s="3" t="s">
        <v>43</v>
      </c>
      <c r="H29" s="3" t="s">
        <v>331</v>
      </c>
      <c r="I29" s="4">
        <v>28</v>
      </c>
      <c r="J29" s="3" t="s">
        <v>332</v>
      </c>
      <c r="K29" s="3" t="s">
        <v>333</v>
      </c>
      <c r="L29" s="3" t="s">
        <v>334</v>
      </c>
      <c r="M29" s="3" t="s">
        <v>335</v>
      </c>
      <c r="N29" s="3" t="s">
        <v>336</v>
      </c>
      <c r="O29" s="3" t="s">
        <v>337</v>
      </c>
      <c r="P29" s="3" t="s">
        <v>51</v>
      </c>
      <c r="Q29" s="3" t="s">
        <v>323</v>
      </c>
      <c r="R29" s="3" t="s">
        <v>53</v>
      </c>
      <c r="S29" s="3" t="s">
        <v>123</v>
      </c>
      <c r="T29" s="3" t="s">
        <v>338</v>
      </c>
      <c r="U29" s="3" t="s">
        <v>339</v>
      </c>
      <c r="V29" s="3" t="s">
        <v>340</v>
      </c>
      <c r="W29" s="3" t="s">
        <v>58</v>
      </c>
      <c r="X29" s="3">
        <f t="shared" si="0"/>
        <v>3</v>
      </c>
      <c r="Y29" s="3" t="s">
        <v>53</v>
      </c>
      <c r="Z29" s="3" t="s">
        <v>53</v>
      </c>
      <c r="AA29" s="3" t="s">
        <v>53</v>
      </c>
      <c r="AB29" s="3" t="str">
        <f t="shared" si="1"/>
        <v>Effective</v>
      </c>
      <c r="AC29" s="3" t="str">
        <f t="shared" si="2"/>
        <v>Low</v>
      </c>
      <c r="AD29" s="3">
        <f t="shared" si="3"/>
        <v>3</v>
      </c>
      <c r="AE29" s="3">
        <f t="shared" si="4"/>
        <v>3</v>
      </c>
      <c r="AF29" s="3" t="s">
        <v>59</v>
      </c>
      <c r="AG29" s="3"/>
      <c r="AH29" s="3"/>
      <c r="AI29" s="3"/>
      <c r="AJ29" s="3"/>
      <c r="AK29" s="3"/>
      <c r="AL29" s="3" t="s">
        <v>60</v>
      </c>
      <c r="AM29" s="3" t="str">
        <f t="shared" si="5"/>
        <v>Must Have</v>
      </c>
    </row>
    <row r="30" spans="1:39" ht="108" customHeight="1" x14ac:dyDescent="0.35">
      <c r="A30" s="4">
        <v>29</v>
      </c>
      <c r="B30" s="3" t="s">
        <v>39</v>
      </c>
      <c r="C30" s="3" t="s">
        <v>328</v>
      </c>
      <c r="D30" s="3" t="s">
        <v>329</v>
      </c>
      <c r="E30" s="3" t="s">
        <v>330</v>
      </c>
      <c r="F30" s="3" t="s">
        <v>114</v>
      </c>
      <c r="G30" s="3" t="s">
        <v>43</v>
      </c>
      <c r="H30" s="3" t="s">
        <v>331</v>
      </c>
      <c r="I30" s="4">
        <v>29</v>
      </c>
      <c r="J30" s="3" t="s">
        <v>341</v>
      </c>
      <c r="K30" s="3" t="s">
        <v>342</v>
      </c>
      <c r="L30" s="3" t="s">
        <v>343</v>
      </c>
      <c r="M30" s="3" t="s">
        <v>344</v>
      </c>
      <c r="N30" s="3" t="s">
        <v>345</v>
      </c>
      <c r="O30" s="3" t="s">
        <v>346</v>
      </c>
      <c r="P30" s="3" t="s">
        <v>122</v>
      </c>
      <c r="Q30" s="3" t="s">
        <v>323</v>
      </c>
      <c r="R30" s="3" t="s">
        <v>53</v>
      </c>
      <c r="S30" s="3" t="s">
        <v>347</v>
      </c>
      <c r="T30" s="3" t="s">
        <v>348</v>
      </c>
      <c r="U30" s="3" t="s">
        <v>349</v>
      </c>
      <c r="V30" s="3" t="s">
        <v>350</v>
      </c>
      <c r="W30" s="3" t="s">
        <v>58</v>
      </c>
      <c r="X30" s="3">
        <f t="shared" si="0"/>
        <v>3</v>
      </c>
      <c r="Y30" s="3" t="s">
        <v>53</v>
      </c>
      <c r="Z30" s="3" t="s">
        <v>53</v>
      </c>
      <c r="AA30" s="3" t="s">
        <v>53</v>
      </c>
      <c r="AB30" s="3" t="str">
        <f t="shared" si="1"/>
        <v>Effective</v>
      </c>
      <c r="AC30" s="3" t="str">
        <f t="shared" si="2"/>
        <v>Low</v>
      </c>
      <c r="AD30" s="3">
        <f t="shared" si="3"/>
        <v>3</v>
      </c>
      <c r="AE30" s="3">
        <f t="shared" si="4"/>
        <v>3</v>
      </c>
      <c r="AF30" s="3" t="s">
        <v>59</v>
      </c>
      <c r="AG30" s="3"/>
      <c r="AH30" s="3"/>
      <c r="AI30" s="3"/>
      <c r="AJ30" s="3"/>
      <c r="AK30" s="3"/>
      <c r="AL30" s="3" t="s">
        <v>60</v>
      </c>
      <c r="AM30" s="3" t="str">
        <f t="shared" si="5"/>
        <v>Must Have</v>
      </c>
    </row>
    <row r="31" spans="1:39" ht="108" customHeight="1" x14ac:dyDescent="0.35">
      <c r="A31" s="4">
        <v>30</v>
      </c>
      <c r="B31" s="3" t="s">
        <v>39</v>
      </c>
      <c r="C31" s="3" t="s">
        <v>351</v>
      </c>
      <c r="D31" s="3" t="s">
        <v>352</v>
      </c>
      <c r="E31" s="3" t="s">
        <v>352</v>
      </c>
      <c r="F31" s="3" t="s">
        <v>42</v>
      </c>
      <c r="G31" s="3" t="s">
        <v>43</v>
      </c>
      <c r="H31" s="3" t="s">
        <v>353</v>
      </c>
      <c r="I31" s="4">
        <v>30</v>
      </c>
      <c r="J31" s="3" t="s">
        <v>354</v>
      </c>
      <c r="K31" s="3" t="s">
        <v>355</v>
      </c>
      <c r="L31" s="3" t="s">
        <v>356</v>
      </c>
      <c r="M31" s="3" t="s">
        <v>357</v>
      </c>
      <c r="N31" s="3" t="s">
        <v>358</v>
      </c>
      <c r="O31" s="3" t="s">
        <v>359</v>
      </c>
      <c r="P31" s="3" t="s">
        <v>51</v>
      </c>
      <c r="Q31" s="3" t="s">
        <v>153</v>
      </c>
      <c r="R31" s="3" t="s">
        <v>53</v>
      </c>
      <c r="S31" s="3" t="s">
        <v>360</v>
      </c>
      <c r="T31" s="3" t="s">
        <v>361</v>
      </c>
      <c r="U31" s="3" t="s">
        <v>362</v>
      </c>
      <c r="V31" s="3" t="s">
        <v>363</v>
      </c>
      <c r="W31" s="3" t="s">
        <v>58</v>
      </c>
      <c r="X31" s="3">
        <f t="shared" si="0"/>
        <v>3</v>
      </c>
      <c r="Y31" s="3" t="s">
        <v>53</v>
      </c>
      <c r="Z31" s="3" t="s">
        <v>53</v>
      </c>
      <c r="AA31" s="3" t="s">
        <v>53</v>
      </c>
      <c r="AB31" s="3" t="str">
        <f t="shared" si="1"/>
        <v>Effective</v>
      </c>
      <c r="AC31" s="3" t="str">
        <f t="shared" si="2"/>
        <v>Low</v>
      </c>
      <c r="AD31" s="3">
        <f t="shared" si="3"/>
        <v>3</v>
      </c>
      <c r="AE31" s="3">
        <f t="shared" si="4"/>
        <v>3</v>
      </c>
      <c r="AF31" s="3" t="s">
        <v>59</v>
      </c>
      <c r="AG31" s="3"/>
      <c r="AH31" s="3"/>
      <c r="AI31" s="3"/>
      <c r="AJ31" s="3"/>
      <c r="AK31" s="3"/>
      <c r="AL31" s="3" t="s">
        <v>60</v>
      </c>
      <c r="AM31" s="3" t="str">
        <f t="shared" si="5"/>
        <v>Must Have</v>
      </c>
    </row>
    <row r="32" spans="1:39" ht="120" customHeight="1" x14ac:dyDescent="0.35">
      <c r="A32" s="4">
        <v>31</v>
      </c>
      <c r="B32" s="3" t="s">
        <v>39</v>
      </c>
      <c r="C32" s="3" t="s">
        <v>364</v>
      </c>
      <c r="D32" s="3" t="s">
        <v>365</v>
      </c>
      <c r="E32" s="3" t="s">
        <v>366</v>
      </c>
      <c r="F32" s="3" t="s">
        <v>42</v>
      </c>
      <c r="G32" s="3" t="s">
        <v>367</v>
      </c>
      <c r="H32" s="3" t="s">
        <v>366</v>
      </c>
      <c r="I32" s="4" t="s">
        <v>368</v>
      </c>
      <c r="J32" s="3" t="s">
        <v>369</v>
      </c>
      <c r="K32" s="3" t="s">
        <v>370</v>
      </c>
      <c r="L32" s="3" t="s">
        <v>371</v>
      </c>
      <c r="M32" s="3" t="s">
        <v>372</v>
      </c>
      <c r="N32" s="3" t="s">
        <v>373</v>
      </c>
      <c r="O32" s="3" t="s">
        <v>374</v>
      </c>
      <c r="P32" s="3" t="s">
        <v>51</v>
      </c>
      <c r="Q32" s="3" t="s">
        <v>52</v>
      </c>
      <c r="R32" s="3" t="s">
        <v>53</v>
      </c>
      <c r="S32" s="3" t="s">
        <v>375</v>
      </c>
      <c r="T32" s="3" t="s">
        <v>376</v>
      </c>
      <c r="U32" s="3" t="s">
        <v>377</v>
      </c>
      <c r="V32" s="3" t="s">
        <v>378</v>
      </c>
      <c r="W32" s="3" t="s">
        <v>58</v>
      </c>
      <c r="X32" s="3">
        <f t="shared" si="0"/>
        <v>3</v>
      </c>
      <c r="Y32" s="3" t="s">
        <v>53</v>
      </c>
      <c r="Z32" s="3" t="s">
        <v>53</v>
      </c>
      <c r="AA32" s="3" t="s">
        <v>53</v>
      </c>
      <c r="AB32" s="3" t="str">
        <f t="shared" si="1"/>
        <v>Effective</v>
      </c>
      <c r="AC32" s="3" t="str">
        <f t="shared" si="2"/>
        <v>Low</v>
      </c>
      <c r="AD32" s="3">
        <f t="shared" si="3"/>
        <v>3</v>
      </c>
      <c r="AE32" s="3">
        <f t="shared" si="4"/>
        <v>3</v>
      </c>
      <c r="AF32" s="3" t="s">
        <v>59</v>
      </c>
      <c r="AG32" s="3"/>
      <c r="AH32" s="3"/>
      <c r="AI32" s="3"/>
      <c r="AJ32" s="3"/>
      <c r="AK32" s="3"/>
      <c r="AL32" s="3" t="s">
        <v>60</v>
      </c>
      <c r="AM32" s="3" t="str">
        <f t="shared" si="5"/>
        <v>Must Have</v>
      </c>
    </row>
    <row r="33" spans="1:39" ht="120" customHeight="1" x14ac:dyDescent="0.35">
      <c r="A33" s="4">
        <v>32</v>
      </c>
      <c r="B33" s="3" t="s">
        <v>39</v>
      </c>
      <c r="C33" s="3" t="s">
        <v>364</v>
      </c>
      <c r="D33" s="3" t="s">
        <v>365</v>
      </c>
      <c r="E33" s="3" t="s">
        <v>366</v>
      </c>
      <c r="F33" s="3" t="s">
        <v>114</v>
      </c>
      <c r="G33" s="3" t="s">
        <v>367</v>
      </c>
      <c r="H33" s="3" t="s">
        <v>366</v>
      </c>
      <c r="I33" s="4" t="s">
        <v>379</v>
      </c>
      <c r="J33" s="3" t="s">
        <v>380</v>
      </c>
      <c r="K33" s="3" t="s">
        <v>381</v>
      </c>
      <c r="L33" s="3" t="s">
        <v>382</v>
      </c>
      <c r="M33" s="3" t="s">
        <v>383</v>
      </c>
      <c r="N33" s="3" t="s">
        <v>384</v>
      </c>
      <c r="O33" s="3" t="s">
        <v>385</v>
      </c>
      <c r="P33" s="3" t="s">
        <v>51</v>
      </c>
      <c r="Q33" s="3" t="s">
        <v>52</v>
      </c>
      <c r="R33" s="3" t="s">
        <v>53</v>
      </c>
      <c r="S33" s="3" t="s">
        <v>386</v>
      </c>
      <c r="T33" s="3" t="s">
        <v>387</v>
      </c>
      <c r="U33" s="3" t="s">
        <v>388</v>
      </c>
      <c r="V33" s="3" t="s">
        <v>389</v>
      </c>
      <c r="W33" s="3" t="s">
        <v>58</v>
      </c>
      <c r="X33" s="3">
        <f t="shared" si="0"/>
        <v>3</v>
      </c>
      <c r="Y33" s="3" t="s">
        <v>53</v>
      </c>
      <c r="Z33" s="3" t="s">
        <v>53</v>
      </c>
      <c r="AA33" s="3" t="s">
        <v>53</v>
      </c>
      <c r="AB33" s="3" t="str">
        <f t="shared" si="1"/>
        <v>Effective</v>
      </c>
      <c r="AC33" s="3" t="str">
        <f t="shared" si="2"/>
        <v>Low</v>
      </c>
      <c r="AD33" s="3">
        <f t="shared" si="3"/>
        <v>3</v>
      </c>
      <c r="AE33" s="3">
        <f t="shared" si="4"/>
        <v>3</v>
      </c>
      <c r="AF33" s="3" t="s">
        <v>59</v>
      </c>
      <c r="AG33" s="3"/>
      <c r="AH33" s="3"/>
      <c r="AI33" s="3"/>
      <c r="AJ33" s="3"/>
      <c r="AK33" s="3"/>
      <c r="AL33" s="3" t="s">
        <v>60</v>
      </c>
      <c r="AM33" s="3" t="str">
        <f t="shared" si="5"/>
        <v>Must Have</v>
      </c>
    </row>
    <row r="34" spans="1:39" ht="120" customHeight="1" x14ac:dyDescent="0.35">
      <c r="A34" s="4">
        <v>33</v>
      </c>
      <c r="B34" s="3" t="s">
        <v>39</v>
      </c>
      <c r="C34" s="3" t="s">
        <v>390</v>
      </c>
      <c r="D34" s="3" t="s">
        <v>112</v>
      </c>
      <c r="E34" s="3" t="s">
        <v>391</v>
      </c>
      <c r="F34" s="3" t="s">
        <v>114</v>
      </c>
      <c r="G34" s="3" t="s">
        <v>367</v>
      </c>
      <c r="H34" s="3" t="s">
        <v>391</v>
      </c>
      <c r="I34" s="4" t="s">
        <v>392</v>
      </c>
      <c r="J34" s="3" t="s">
        <v>393</v>
      </c>
      <c r="K34" s="3" t="s">
        <v>394</v>
      </c>
      <c r="L34" s="3" t="s">
        <v>395</v>
      </c>
      <c r="M34" s="3" t="s">
        <v>396</v>
      </c>
      <c r="N34" s="3" t="s">
        <v>397</v>
      </c>
      <c r="O34" s="3" t="s">
        <v>398</v>
      </c>
      <c r="P34" s="3" t="s">
        <v>122</v>
      </c>
      <c r="Q34" s="3" t="s">
        <v>153</v>
      </c>
      <c r="R34" s="3" t="s">
        <v>53</v>
      </c>
      <c r="S34" s="3" t="s">
        <v>399</v>
      </c>
      <c r="T34" s="3" t="s">
        <v>400</v>
      </c>
      <c r="U34" s="3" t="s">
        <v>401</v>
      </c>
      <c r="V34" s="3" t="s">
        <v>402</v>
      </c>
      <c r="W34" s="3" t="s">
        <v>58</v>
      </c>
      <c r="X34" s="3">
        <f t="shared" si="0"/>
        <v>3</v>
      </c>
      <c r="Y34" s="3" t="s">
        <v>53</v>
      </c>
      <c r="Z34" s="3" t="s">
        <v>53</v>
      </c>
      <c r="AA34" s="3" t="s">
        <v>53</v>
      </c>
      <c r="AB34" s="3" t="str">
        <f t="shared" si="1"/>
        <v>Effective</v>
      </c>
      <c r="AC34" s="3" t="str">
        <f t="shared" si="2"/>
        <v>Low</v>
      </c>
      <c r="AD34" s="3">
        <f t="shared" si="3"/>
        <v>3</v>
      </c>
      <c r="AE34" s="3">
        <f t="shared" si="4"/>
        <v>3</v>
      </c>
      <c r="AF34" s="3" t="s">
        <v>59</v>
      </c>
      <c r="AG34" s="3"/>
      <c r="AH34" s="3"/>
      <c r="AI34" s="3"/>
      <c r="AJ34" s="3"/>
      <c r="AK34" s="3"/>
      <c r="AL34" s="3" t="s">
        <v>60</v>
      </c>
      <c r="AM34" s="3" t="str">
        <f t="shared" si="5"/>
        <v>Must Have</v>
      </c>
    </row>
    <row r="35" spans="1:39" ht="108" customHeight="1" x14ac:dyDescent="0.35">
      <c r="A35" s="4">
        <v>34</v>
      </c>
      <c r="B35" s="3" t="s">
        <v>39</v>
      </c>
      <c r="C35" s="3" t="s">
        <v>403</v>
      </c>
      <c r="D35" s="3" t="s">
        <v>41</v>
      </c>
      <c r="E35" s="3" t="s">
        <v>404</v>
      </c>
      <c r="F35" s="3" t="s">
        <v>42</v>
      </c>
      <c r="G35" s="3" t="s">
        <v>367</v>
      </c>
      <c r="H35" s="3" t="s">
        <v>404</v>
      </c>
      <c r="I35" s="4" t="s">
        <v>405</v>
      </c>
      <c r="J35" s="3" t="s">
        <v>406</v>
      </c>
      <c r="K35" s="3" t="s">
        <v>407</v>
      </c>
      <c r="L35" s="3" t="s">
        <v>408</v>
      </c>
      <c r="M35" s="3" t="s">
        <v>409</v>
      </c>
      <c r="N35" s="3" t="s">
        <v>410</v>
      </c>
      <c r="O35" s="3" t="s">
        <v>411</v>
      </c>
      <c r="P35" s="3" t="s">
        <v>51</v>
      </c>
      <c r="Q35" s="3" t="s">
        <v>52</v>
      </c>
      <c r="R35" s="3" t="s">
        <v>53</v>
      </c>
      <c r="S35" s="3" t="s">
        <v>412</v>
      </c>
      <c r="T35" s="3" t="s">
        <v>413</v>
      </c>
      <c r="U35" s="3" t="s">
        <v>414</v>
      </c>
      <c r="V35" s="3" t="s">
        <v>415</v>
      </c>
      <c r="W35" s="3" t="s">
        <v>58</v>
      </c>
      <c r="X35" s="3">
        <f t="shared" si="0"/>
        <v>3</v>
      </c>
      <c r="Y35" s="3" t="s">
        <v>53</v>
      </c>
      <c r="Z35" s="3" t="s">
        <v>53</v>
      </c>
      <c r="AA35" s="3" t="s">
        <v>53</v>
      </c>
      <c r="AB35" s="3" t="str">
        <f t="shared" si="1"/>
        <v>Effective</v>
      </c>
      <c r="AC35" s="3" t="str">
        <f t="shared" si="2"/>
        <v>Low</v>
      </c>
      <c r="AD35" s="3">
        <f t="shared" si="3"/>
        <v>3</v>
      </c>
      <c r="AE35" s="3">
        <f t="shared" si="4"/>
        <v>3</v>
      </c>
      <c r="AF35" s="3" t="s">
        <v>59</v>
      </c>
      <c r="AG35" s="3"/>
      <c r="AH35" s="3"/>
      <c r="AI35" s="3"/>
      <c r="AJ35" s="3"/>
      <c r="AK35" s="3"/>
      <c r="AL35" s="3" t="s">
        <v>60</v>
      </c>
      <c r="AM35" s="3" t="str">
        <f t="shared" si="5"/>
        <v>Must Have</v>
      </c>
    </row>
    <row r="36" spans="1:39" ht="120" customHeight="1" x14ac:dyDescent="0.35">
      <c r="A36" s="4">
        <v>35</v>
      </c>
      <c r="B36" s="3" t="s">
        <v>39</v>
      </c>
      <c r="C36" s="3" t="s">
        <v>416</v>
      </c>
      <c r="D36" s="3" t="s">
        <v>365</v>
      </c>
      <c r="E36" s="3" t="s">
        <v>417</v>
      </c>
      <c r="F36" s="3" t="s">
        <v>42</v>
      </c>
      <c r="G36" s="3" t="s">
        <v>367</v>
      </c>
      <c r="H36" s="3" t="s">
        <v>417</v>
      </c>
      <c r="I36" s="4" t="s">
        <v>418</v>
      </c>
      <c r="J36" s="3" t="s">
        <v>419</v>
      </c>
      <c r="K36" s="3" t="s">
        <v>420</v>
      </c>
      <c r="L36" s="3" t="s">
        <v>421</v>
      </c>
      <c r="M36" s="3" t="s">
        <v>422</v>
      </c>
      <c r="N36" s="3" t="s">
        <v>423</v>
      </c>
      <c r="O36" s="3" t="s">
        <v>424</v>
      </c>
      <c r="P36" s="3" t="s">
        <v>122</v>
      </c>
      <c r="Q36" s="3" t="s">
        <v>52</v>
      </c>
      <c r="R36" s="3" t="s">
        <v>53</v>
      </c>
      <c r="S36" s="3" t="s">
        <v>425</v>
      </c>
      <c r="T36" s="3" t="s">
        <v>426</v>
      </c>
      <c r="U36" s="3" t="s">
        <v>427</v>
      </c>
      <c r="V36" s="3" t="s">
        <v>428</v>
      </c>
      <c r="W36" s="3" t="s">
        <v>58</v>
      </c>
      <c r="X36" s="3">
        <f t="shared" si="0"/>
        <v>3</v>
      </c>
      <c r="Y36" s="3" t="s">
        <v>53</v>
      </c>
      <c r="Z36" s="3" t="s">
        <v>53</v>
      </c>
      <c r="AA36" s="3" t="s">
        <v>53</v>
      </c>
      <c r="AB36" s="3" t="str">
        <f t="shared" si="1"/>
        <v>Effective</v>
      </c>
      <c r="AC36" s="3" t="str">
        <f t="shared" si="2"/>
        <v>Low</v>
      </c>
      <c r="AD36" s="3">
        <f t="shared" si="3"/>
        <v>3</v>
      </c>
      <c r="AE36" s="3">
        <f t="shared" si="4"/>
        <v>3</v>
      </c>
      <c r="AF36" s="3" t="s">
        <v>59</v>
      </c>
      <c r="AG36" s="3"/>
      <c r="AH36" s="3"/>
      <c r="AI36" s="3"/>
      <c r="AJ36" s="3"/>
      <c r="AK36" s="3"/>
      <c r="AL36" s="3" t="s">
        <v>60</v>
      </c>
      <c r="AM36" s="3" t="str">
        <f t="shared" si="5"/>
        <v>Must Have</v>
      </c>
    </row>
    <row r="37" spans="1:39" ht="120" customHeight="1" x14ac:dyDescent="0.35">
      <c r="A37" s="4">
        <v>36</v>
      </c>
      <c r="B37" s="3" t="s">
        <v>39</v>
      </c>
      <c r="C37" s="3" t="s">
        <v>416</v>
      </c>
      <c r="D37" s="3" t="s">
        <v>365</v>
      </c>
      <c r="E37" s="3" t="s">
        <v>417</v>
      </c>
      <c r="F37" s="3" t="s">
        <v>42</v>
      </c>
      <c r="G37" s="3" t="s">
        <v>367</v>
      </c>
      <c r="H37" s="3" t="s">
        <v>417</v>
      </c>
      <c r="I37" s="4" t="s">
        <v>429</v>
      </c>
      <c r="J37" s="3" t="s">
        <v>430</v>
      </c>
      <c r="K37" s="3" t="s">
        <v>431</v>
      </c>
      <c r="L37" s="3" t="s">
        <v>432</v>
      </c>
      <c r="M37" s="3" t="s">
        <v>433</v>
      </c>
      <c r="N37" s="3" t="s">
        <v>434</v>
      </c>
      <c r="O37" s="3" t="s">
        <v>435</v>
      </c>
      <c r="P37" s="3" t="s">
        <v>51</v>
      </c>
      <c r="Q37" s="3" t="s">
        <v>52</v>
      </c>
      <c r="R37" s="3" t="s">
        <v>53</v>
      </c>
      <c r="S37" s="3" t="s">
        <v>436</v>
      </c>
      <c r="T37" s="3" t="s">
        <v>437</v>
      </c>
      <c r="U37" s="3" t="s">
        <v>438</v>
      </c>
      <c r="V37" s="3" t="s">
        <v>439</v>
      </c>
      <c r="W37" s="3" t="s">
        <v>58</v>
      </c>
      <c r="X37" s="3">
        <f t="shared" si="0"/>
        <v>3</v>
      </c>
      <c r="Y37" s="3" t="s">
        <v>53</v>
      </c>
      <c r="Z37" s="3" t="s">
        <v>53</v>
      </c>
      <c r="AA37" s="3" t="s">
        <v>53</v>
      </c>
      <c r="AB37" s="3" t="str">
        <f t="shared" si="1"/>
        <v>Effective</v>
      </c>
      <c r="AC37" s="3" t="str">
        <f t="shared" si="2"/>
        <v>Low</v>
      </c>
      <c r="AD37" s="3">
        <f t="shared" si="3"/>
        <v>3</v>
      </c>
      <c r="AE37" s="3">
        <f t="shared" si="4"/>
        <v>3</v>
      </c>
      <c r="AF37" s="3" t="s">
        <v>59</v>
      </c>
      <c r="AG37" s="3"/>
      <c r="AH37" s="3"/>
      <c r="AI37" s="3"/>
      <c r="AJ37" s="3"/>
      <c r="AK37" s="3"/>
      <c r="AL37" s="3" t="s">
        <v>60</v>
      </c>
      <c r="AM37" s="3" t="str">
        <f t="shared" si="5"/>
        <v>Must Have</v>
      </c>
    </row>
    <row r="38" spans="1:39" ht="120" customHeight="1" x14ac:dyDescent="0.35">
      <c r="A38" s="4">
        <v>37</v>
      </c>
      <c r="B38" s="3" t="s">
        <v>39</v>
      </c>
      <c r="C38" s="3" t="s">
        <v>416</v>
      </c>
      <c r="D38" s="3" t="s">
        <v>365</v>
      </c>
      <c r="E38" s="3" t="s">
        <v>417</v>
      </c>
      <c r="F38" s="3" t="s">
        <v>42</v>
      </c>
      <c r="G38" s="3" t="s">
        <v>367</v>
      </c>
      <c r="H38" s="3" t="s">
        <v>417</v>
      </c>
      <c r="I38" s="4" t="s">
        <v>440</v>
      </c>
      <c r="J38" s="3" t="s">
        <v>441</v>
      </c>
      <c r="K38" s="3" t="s">
        <v>442</v>
      </c>
      <c r="L38" s="3" t="s">
        <v>443</v>
      </c>
      <c r="M38" s="3" t="s">
        <v>444</v>
      </c>
      <c r="N38" s="3" t="s">
        <v>445</v>
      </c>
      <c r="O38" s="3" t="s">
        <v>446</v>
      </c>
      <c r="P38" s="3" t="s">
        <v>122</v>
      </c>
      <c r="Q38" s="3" t="s">
        <v>52</v>
      </c>
      <c r="R38" s="3" t="s">
        <v>53</v>
      </c>
      <c r="S38" s="3" t="s">
        <v>217</v>
      </c>
      <c r="T38" s="3" t="s">
        <v>108</v>
      </c>
      <c r="U38" s="3" t="s">
        <v>447</v>
      </c>
      <c r="V38" s="3" t="s">
        <v>257</v>
      </c>
      <c r="W38" s="3" t="s">
        <v>58</v>
      </c>
      <c r="X38" s="3">
        <f t="shared" si="0"/>
        <v>3</v>
      </c>
      <c r="Y38" s="3" t="s">
        <v>53</v>
      </c>
      <c r="Z38" s="3" t="s">
        <v>53</v>
      </c>
      <c r="AA38" s="3" t="s">
        <v>53</v>
      </c>
      <c r="AB38" s="3" t="str">
        <f t="shared" si="1"/>
        <v>Effective</v>
      </c>
      <c r="AC38" s="3" t="str">
        <f t="shared" si="2"/>
        <v>Low</v>
      </c>
      <c r="AD38" s="3">
        <f t="shared" si="3"/>
        <v>3</v>
      </c>
      <c r="AE38" s="3">
        <f t="shared" si="4"/>
        <v>3</v>
      </c>
      <c r="AF38" s="3" t="s">
        <v>59</v>
      </c>
      <c r="AG38" s="3"/>
      <c r="AH38" s="3"/>
      <c r="AI38" s="3"/>
      <c r="AJ38" s="3"/>
      <c r="AK38" s="3"/>
      <c r="AL38" s="3" t="s">
        <v>60</v>
      </c>
      <c r="AM38" s="3" t="str">
        <f t="shared" si="5"/>
        <v>Must Have</v>
      </c>
    </row>
    <row r="39" spans="1:39" ht="120" customHeight="1" x14ac:dyDescent="0.35">
      <c r="A39" s="4">
        <v>38</v>
      </c>
      <c r="B39" s="3" t="s">
        <v>39</v>
      </c>
      <c r="C39" s="3" t="s">
        <v>448</v>
      </c>
      <c r="D39" s="3" t="s">
        <v>365</v>
      </c>
      <c r="E39" s="3" t="s">
        <v>449</v>
      </c>
      <c r="F39" s="3" t="s">
        <v>42</v>
      </c>
      <c r="G39" s="3" t="s">
        <v>367</v>
      </c>
      <c r="H39" s="3" t="s">
        <v>449</v>
      </c>
      <c r="I39" s="4" t="s">
        <v>450</v>
      </c>
      <c r="J39" s="3" t="s">
        <v>451</v>
      </c>
      <c r="K39" s="3" t="s">
        <v>452</v>
      </c>
      <c r="L39" s="3" t="s">
        <v>453</v>
      </c>
      <c r="M39" s="3" t="s">
        <v>454</v>
      </c>
      <c r="N39" s="3" t="s">
        <v>455</v>
      </c>
      <c r="O39" s="3" t="s">
        <v>456</v>
      </c>
      <c r="P39" s="3" t="s">
        <v>206</v>
      </c>
      <c r="Q39" s="3" t="s">
        <v>52</v>
      </c>
      <c r="R39" s="3" t="s">
        <v>53</v>
      </c>
      <c r="S39" s="3" t="s">
        <v>217</v>
      </c>
      <c r="T39" s="3" t="s">
        <v>108</v>
      </c>
      <c r="U39" s="3" t="s">
        <v>457</v>
      </c>
      <c r="V39" s="3" t="s">
        <v>458</v>
      </c>
      <c r="W39" s="3" t="s">
        <v>58</v>
      </c>
      <c r="X39" s="3">
        <f t="shared" si="0"/>
        <v>3</v>
      </c>
      <c r="Y39" s="3" t="s">
        <v>53</v>
      </c>
      <c r="Z39" s="3" t="s">
        <v>53</v>
      </c>
      <c r="AA39" s="3" t="s">
        <v>53</v>
      </c>
      <c r="AB39" s="3" t="str">
        <f t="shared" si="1"/>
        <v>Effective</v>
      </c>
      <c r="AC39" s="3" t="str">
        <f t="shared" si="2"/>
        <v>Low</v>
      </c>
      <c r="AD39" s="3">
        <f t="shared" si="3"/>
        <v>3</v>
      </c>
      <c r="AE39" s="3">
        <f t="shared" si="4"/>
        <v>3</v>
      </c>
      <c r="AF39" s="3" t="s">
        <v>59</v>
      </c>
      <c r="AG39" s="3"/>
      <c r="AH39" s="3"/>
      <c r="AI39" s="3"/>
      <c r="AJ39" s="3"/>
      <c r="AK39" s="3"/>
      <c r="AL39" s="3" t="s">
        <v>60</v>
      </c>
      <c r="AM39" s="3" t="str">
        <f t="shared" si="5"/>
        <v>Must Have</v>
      </c>
    </row>
    <row r="40" spans="1:39" ht="120" customHeight="1" x14ac:dyDescent="0.35">
      <c r="A40" s="4">
        <v>39</v>
      </c>
      <c r="B40" s="3" t="s">
        <v>39</v>
      </c>
      <c r="C40" s="3" t="s">
        <v>448</v>
      </c>
      <c r="D40" s="3" t="s">
        <v>365</v>
      </c>
      <c r="E40" s="3" t="s">
        <v>449</v>
      </c>
      <c r="F40" s="3" t="s">
        <v>114</v>
      </c>
      <c r="G40" s="3" t="s">
        <v>367</v>
      </c>
      <c r="H40" s="3" t="s">
        <v>449</v>
      </c>
      <c r="I40" s="4" t="s">
        <v>459</v>
      </c>
      <c r="J40" s="3" t="s">
        <v>460</v>
      </c>
      <c r="K40" s="3" t="s">
        <v>461</v>
      </c>
      <c r="L40" s="3" t="s">
        <v>462</v>
      </c>
      <c r="M40" s="3" t="s">
        <v>463</v>
      </c>
      <c r="N40" s="3" t="s">
        <v>464</v>
      </c>
      <c r="O40" s="3" t="s">
        <v>465</v>
      </c>
      <c r="P40" s="3" t="s">
        <v>206</v>
      </c>
      <c r="Q40" s="3" t="s">
        <v>52</v>
      </c>
      <c r="R40" s="3" t="s">
        <v>53</v>
      </c>
      <c r="S40" s="3" t="s">
        <v>217</v>
      </c>
      <c r="T40" s="3" t="s">
        <v>108</v>
      </c>
      <c r="U40" s="3" t="s">
        <v>466</v>
      </c>
      <c r="V40" s="3" t="s">
        <v>458</v>
      </c>
      <c r="W40" s="3" t="s">
        <v>58</v>
      </c>
      <c r="X40" s="3">
        <f t="shared" si="0"/>
        <v>3</v>
      </c>
      <c r="Y40" s="3" t="s">
        <v>53</v>
      </c>
      <c r="Z40" s="3" t="s">
        <v>53</v>
      </c>
      <c r="AA40" s="3" t="s">
        <v>53</v>
      </c>
      <c r="AB40" s="3" t="str">
        <f t="shared" si="1"/>
        <v>Effective</v>
      </c>
      <c r="AC40" s="3" t="str">
        <f t="shared" si="2"/>
        <v>Low</v>
      </c>
      <c r="AD40" s="3">
        <f t="shared" si="3"/>
        <v>3</v>
      </c>
      <c r="AE40" s="3">
        <f t="shared" si="4"/>
        <v>3</v>
      </c>
      <c r="AF40" s="3" t="s">
        <v>59</v>
      </c>
      <c r="AG40" s="3"/>
      <c r="AH40" s="3"/>
      <c r="AI40" s="3"/>
      <c r="AJ40" s="3"/>
      <c r="AK40" s="3"/>
      <c r="AL40" s="3" t="s">
        <v>60</v>
      </c>
      <c r="AM40" s="3" t="str">
        <f t="shared" si="5"/>
        <v>Must Have</v>
      </c>
    </row>
    <row r="41" spans="1:39" ht="120" customHeight="1" x14ac:dyDescent="0.35">
      <c r="A41" s="4">
        <v>40</v>
      </c>
      <c r="B41" s="3" t="s">
        <v>39</v>
      </c>
      <c r="C41" s="3" t="s">
        <v>448</v>
      </c>
      <c r="D41" s="3" t="s">
        <v>365</v>
      </c>
      <c r="E41" s="3" t="s">
        <v>449</v>
      </c>
      <c r="F41" s="3" t="s">
        <v>114</v>
      </c>
      <c r="G41" s="3" t="s">
        <v>367</v>
      </c>
      <c r="H41" s="3" t="s">
        <v>449</v>
      </c>
      <c r="I41" s="4" t="s">
        <v>467</v>
      </c>
      <c r="J41" s="3" t="s">
        <v>468</v>
      </c>
      <c r="K41" s="3" t="s">
        <v>469</v>
      </c>
      <c r="L41" s="3" t="s">
        <v>470</v>
      </c>
      <c r="M41" s="3" t="s">
        <v>471</v>
      </c>
      <c r="N41" s="3" t="s">
        <v>472</v>
      </c>
      <c r="O41" s="3" t="s">
        <v>473</v>
      </c>
      <c r="P41" s="3" t="s">
        <v>122</v>
      </c>
      <c r="Q41" s="3" t="s">
        <v>52</v>
      </c>
      <c r="R41" s="3" t="s">
        <v>53</v>
      </c>
      <c r="S41" s="3" t="s">
        <v>217</v>
      </c>
      <c r="T41" s="3" t="s">
        <v>474</v>
      </c>
      <c r="U41" s="3" t="s">
        <v>475</v>
      </c>
      <c r="V41" s="3" t="s">
        <v>476</v>
      </c>
      <c r="W41" s="3" t="s">
        <v>58</v>
      </c>
      <c r="X41" s="3">
        <f t="shared" si="0"/>
        <v>3</v>
      </c>
      <c r="Y41" s="3" t="s">
        <v>53</v>
      </c>
      <c r="Z41" s="3" t="s">
        <v>53</v>
      </c>
      <c r="AA41" s="3" t="s">
        <v>53</v>
      </c>
      <c r="AB41" s="3" t="str">
        <f t="shared" si="1"/>
        <v>Effective</v>
      </c>
      <c r="AC41" s="3" t="str">
        <f t="shared" si="2"/>
        <v>Low</v>
      </c>
      <c r="AD41" s="3">
        <f t="shared" si="3"/>
        <v>3</v>
      </c>
      <c r="AE41" s="3">
        <f t="shared" si="4"/>
        <v>3</v>
      </c>
      <c r="AF41" s="3" t="s">
        <v>59</v>
      </c>
      <c r="AG41" s="3"/>
      <c r="AH41" s="3"/>
      <c r="AI41" s="3"/>
      <c r="AJ41" s="3"/>
      <c r="AK41" s="3"/>
      <c r="AL41" s="3" t="s">
        <v>60</v>
      </c>
      <c r="AM41" s="3" t="str">
        <f t="shared" si="5"/>
        <v>Must Have</v>
      </c>
    </row>
    <row r="42" spans="1:39" ht="120" customHeight="1" x14ac:dyDescent="0.35">
      <c r="A42" s="4">
        <v>41</v>
      </c>
      <c r="B42" s="3" t="s">
        <v>39</v>
      </c>
      <c r="C42" s="3" t="s">
        <v>448</v>
      </c>
      <c r="D42" s="3" t="s">
        <v>365</v>
      </c>
      <c r="E42" s="3" t="s">
        <v>449</v>
      </c>
      <c r="F42" s="3" t="s">
        <v>42</v>
      </c>
      <c r="G42" s="3" t="s">
        <v>367</v>
      </c>
      <c r="H42" s="3" t="s">
        <v>449</v>
      </c>
      <c r="I42" s="4" t="s">
        <v>477</v>
      </c>
      <c r="J42" s="3" t="s">
        <v>478</v>
      </c>
      <c r="K42" s="3" t="s">
        <v>479</v>
      </c>
      <c r="L42" s="3" t="s">
        <v>480</v>
      </c>
      <c r="M42" s="3" t="s">
        <v>481</v>
      </c>
      <c r="N42" s="3" t="s">
        <v>482</v>
      </c>
      <c r="O42" s="3" t="s">
        <v>483</v>
      </c>
      <c r="P42" s="3" t="s">
        <v>51</v>
      </c>
      <c r="Q42" s="3" t="s">
        <v>52</v>
      </c>
      <c r="R42" s="3" t="s">
        <v>154</v>
      </c>
      <c r="S42" s="3" t="s">
        <v>484</v>
      </c>
      <c r="T42" s="3" t="s">
        <v>485</v>
      </c>
      <c r="U42" s="3" t="s">
        <v>486</v>
      </c>
      <c r="V42" s="3" t="s">
        <v>487</v>
      </c>
      <c r="W42" s="3" t="s">
        <v>159</v>
      </c>
      <c r="X42" s="3">
        <f t="shared" si="0"/>
        <v>2</v>
      </c>
      <c r="Y42" s="3" t="s">
        <v>53</v>
      </c>
      <c r="Z42" s="3" t="s">
        <v>53</v>
      </c>
      <c r="AA42" s="3" t="s">
        <v>53</v>
      </c>
      <c r="AB42" s="3" t="str">
        <f t="shared" si="1"/>
        <v>Effective</v>
      </c>
      <c r="AC42" s="3" t="str">
        <f t="shared" si="2"/>
        <v>Low</v>
      </c>
      <c r="AD42" s="3">
        <f t="shared" si="3"/>
        <v>2</v>
      </c>
      <c r="AE42" s="3">
        <f t="shared" si="4"/>
        <v>2</v>
      </c>
      <c r="AF42" s="3" t="s">
        <v>59</v>
      </c>
      <c r="AG42" s="3"/>
      <c r="AH42" s="3"/>
      <c r="AI42" s="3"/>
      <c r="AJ42" s="3"/>
      <c r="AK42" s="3"/>
      <c r="AL42" s="3" t="s">
        <v>60</v>
      </c>
      <c r="AM42" s="3" t="str">
        <f t="shared" si="5"/>
        <v>Should Have</v>
      </c>
    </row>
    <row r="43" spans="1:39" ht="120" customHeight="1" x14ac:dyDescent="0.35">
      <c r="A43" s="4">
        <v>42</v>
      </c>
      <c r="B43" s="3" t="s">
        <v>39</v>
      </c>
      <c r="C43" s="3" t="s">
        <v>488</v>
      </c>
      <c r="D43" s="3" t="s">
        <v>365</v>
      </c>
      <c r="E43" s="3" t="s">
        <v>489</v>
      </c>
      <c r="F43" s="3" t="s">
        <v>42</v>
      </c>
      <c r="G43" s="3" t="s">
        <v>367</v>
      </c>
      <c r="H43" s="3" t="s">
        <v>489</v>
      </c>
      <c r="I43" s="4" t="s">
        <v>490</v>
      </c>
      <c r="J43" s="3" t="s">
        <v>491</v>
      </c>
      <c r="K43" s="3" t="s">
        <v>492</v>
      </c>
      <c r="L43" s="3" t="s">
        <v>493</v>
      </c>
      <c r="M43" s="3" t="s">
        <v>494</v>
      </c>
      <c r="N43" s="3" t="s">
        <v>495</v>
      </c>
      <c r="O43" s="3" t="s">
        <v>496</v>
      </c>
      <c r="P43" s="3" t="s">
        <v>122</v>
      </c>
      <c r="Q43" s="3" t="s">
        <v>52</v>
      </c>
      <c r="R43" s="3" t="s">
        <v>53</v>
      </c>
      <c r="S43" s="3" t="s">
        <v>237</v>
      </c>
      <c r="T43" s="3" t="s">
        <v>238</v>
      </c>
      <c r="U43" s="3" t="s">
        <v>497</v>
      </c>
      <c r="V43" s="3" t="s">
        <v>240</v>
      </c>
      <c r="W43" s="3" t="s">
        <v>58</v>
      </c>
      <c r="X43" s="3">
        <f t="shared" si="0"/>
        <v>3</v>
      </c>
      <c r="Y43" s="3" t="s">
        <v>53</v>
      </c>
      <c r="Z43" s="3" t="s">
        <v>53</v>
      </c>
      <c r="AA43" s="3" t="s">
        <v>53</v>
      </c>
      <c r="AB43" s="3" t="str">
        <f t="shared" si="1"/>
        <v>Effective</v>
      </c>
      <c r="AC43" s="3" t="str">
        <f t="shared" si="2"/>
        <v>Low</v>
      </c>
      <c r="AD43" s="3">
        <f t="shared" si="3"/>
        <v>3</v>
      </c>
      <c r="AE43" s="3">
        <f t="shared" si="4"/>
        <v>3</v>
      </c>
      <c r="AF43" s="3" t="s">
        <v>59</v>
      </c>
      <c r="AG43" s="3"/>
      <c r="AH43" s="3"/>
      <c r="AI43" s="3"/>
      <c r="AJ43" s="3"/>
      <c r="AK43" s="3"/>
      <c r="AL43" s="3" t="s">
        <v>60</v>
      </c>
      <c r="AM43" s="3" t="str">
        <f t="shared" si="5"/>
        <v>Must Have</v>
      </c>
    </row>
    <row r="44" spans="1:39" ht="120" customHeight="1" x14ac:dyDescent="0.35">
      <c r="A44" s="4">
        <v>43</v>
      </c>
      <c r="B44" s="3" t="s">
        <v>39</v>
      </c>
      <c r="C44" s="3" t="s">
        <v>488</v>
      </c>
      <c r="D44" s="3" t="s">
        <v>365</v>
      </c>
      <c r="E44" s="3" t="s">
        <v>489</v>
      </c>
      <c r="F44" s="3" t="s">
        <v>114</v>
      </c>
      <c r="G44" s="3" t="s">
        <v>367</v>
      </c>
      <c r="H44" s="3" t="s">
        <v>489</v>
      </c>
      <c r="I44" s="4" t="s">
        <v>498</v>
      </c>
      <c r="J44" s="3" t="s">
        <v>499</v>
      </c>
      <c r="K44" s="3" t="s">
        <v>500</v>
      </c>
      <c r="L44" s="3" t="s">
        <v>501</v>
      </c>
      <c r="M44" s="3" t="s">
        <v>502</v>
      </c>
      <c r="N44" s="3" t="s">
        <v>503</v>
      </c>
      <c r="O44" s="3" t="s">
        <v>504</v>
      </c>
      <c r="P44" s="3" t="s">
        <v>206</v>
      </c>
      <c r="Q44" s="3" t="s">
        <v>153</v>
      </c>
      <c r="R44" s="3" t="s">
        <v>53</v>
      </c>
      <c r="S44" s="3" t="s">
        <v>237</v>
      </c>
      <c r="T44" s="3" t="s">
        <v>108</v>
      </c>
      <c r="U44" s="3" t="s">
        <v>505</v>
      </c>
      <c r="V44" s="3" t="s">
        <v>506</v>
      </c>
      <c r="W44" s="3" t="s">
        <v>58</v>
      </c>
      <c r="X44" s="3">
        <f t="shared" si="0"/>
        <v>3</v>
      </c>
      <c r="Y44" s="3" t="s">
        <v>53</v>
      </c>
      <c r="Z44" s="3" t="s">
        <v>53</v>
      </c>
      <c r="AA44" s="3" t="s">
        <v>53</v>
      </c>
      <c r="AB44" s="3" t="str">
        <f t="shared" si="1"/>
        <v>Effective</v>
      </c>
      <c r="AC44" s="3" t="str">
        <f t="shared" si="2"/>
        <v>Low</v>
      </c>
      <c r="AD44" s="3">
        <f t="shared" si="3"/>
        <v>3</v>
      </c>
      <c r="AE44" s="3">
        <f t="shared" si="4"/>
        <v>3</v>
      </c>
      <c r="AF44" s="3" t="s">
        <v>59</v>
      </c>
      <c r="AG44" s="3"/>
      <c r="AH44" s="3"/>
      <c r="AI44" s="3"/>
      <c r="AJ44" s="3"/>
      <c r="AK44" s="3"/>
      <c r="AL44" s="3" t="s">
        <v>60</v>
      </c>
      <c r="AM44" s="3" t="str">
        <f t="shared" si="5"/>
        <v>Must Have</v>
      </c>
    </row>
    <row r="45" spans="1:39" ht="120" customHeight="1" x14ac:dyDescent="0.35">
      <c r="A45" s="4">
        <v>44</v>
      </c>
      <c r="B45" s="3" t="s">
        <v>39</v>
      </c>
      <c r="C45" s="3" t="s">
        <v>507</v>
      </c>
      <c r="D45" s="3" t="s">
        <v>365</v>
      </c>
      <c r="E45" s="3" t="s">
        <v>508</v>
      </c>
      <c r="F45" s="3" t="s">
        <v>114</v>
      </c>
      <c r="G45" s="3" t="s">
        <v>367</v>
      </c>
      <c r="H45" s="3" t="s">
        <v>508</v>
      </c>
      <c r="I45" s="4" t="s">
        <v>509</v>
      </c>
      <c r="J45" s="3" t="s">
        <v>510</v>
      </c>
      <c r="K45" s="3" t="s">
        <v>511</v>
      </c>
      <c r="L45" s="3" t="s">
        <v>512</v>
      </c>
      <c r="M45" s="3" t="s">
        <v>513</v>
      </c>
      <c r="N45" s="3" t="s">
        <v>514</v>
      </c>
      <c r="O45" s="3" t="s">
        <v>515</v>
      </c>
      <c r="P45" s="3" t="s">
        <v>51</v>
      </c>
      <c r="Q45" s="3" t="s">
        <v>52</v>
      </c>
      <c r="R45" s="3" t="s">
        <v>154</v>
      </c>
      <c r="S45" s="3" t="s">
        <v>516</v>
      </c>
      <c r="T45" s="3" t="s">
        <v>218</v>
      </c>
      <c r="U45" s="3" t="s">
        <v>517</v>
      </c>
      <c r="V45" s="3" t="s">
        <v>518</v>
      </c>
      <c r="W45" s="3" t="s">
        <v>159</v>
      </c>
      <c r="X45" s="3">
        <f t="shared" si="0"/>
        <v>2</v>
      </c>
      <c r="Y45" s="3" t="s">
        <v>53</v>
      </c>
      <c r="Z45" s="3" t="s">
        <v>53</v>
      </c>
      <c r="AA45" s="3" t="s">
        <v>53</v>
      </c>
      <c r="AB45" s="3" t="str">
        <f t="shared" si="1"/>
        <v>Effective</v>
      </c>
      <c r="AC45" s="3" t="str">
        <f t="shared" si="2"/>
        <v>Low</v>
      </c>
      <c r="AD45" s="3">
        <f t="shared" si="3"/>
        <v>2</v>
      </c>
      <c r="AE45" s="3">
        <f t="shared" si="4"/>
        <v>2</v>
      </c>
      <c r="AF45" s="3" t="s">
        <v>59</v>
      </c>
      <c r="AG45" s="3"/>
      <c r="AH45" s="3"/>
      <c r="AI45" s="3"/>
      <c r="AJ45" s="3"/>
      <c r="AK45" s="3"/>
      <c r="AL45" s="3" t="s">
        <v>60</v>
      </c>
      <c r="AM45" s="3" t="str">
        <f t="shared" si="5"/>
        <v>Should Have</v>
      </c>
    </row>
    <row r="46" spans="1:39" ht="120" customHeight="1" x14ac:dyDescent="0.35">
      <c r="A46" s="4">
        <v>45</v>
      </c>
      <c r="B46" s="3" t="s">
        <v>39</v>
      </c>
      <c r="C46" s="3" t="s">
        <v>507</v>
      </c>
      <c r="D46" s="3" t="s">
        <v>365</v>
      </c>
      <c r="E46" s="3" t="s">
        <v>508</v>
      </c>
      <c r="F46" s="3" t="s">
        <v>42</v>
      </c>
      <c r="G46" s="3" t="s">
        <v>367</v>
      </c>
      <c r="H46" s="3" t="s">
        <v>508</v>
      </c>
      <c r="I46" s="4" t="s">
        <v>519</v>
      </c>
      <c r="J46" s="3" t="s">
        <v>520</v>
      </c>
      <c r="K46" s="3" t="s">
        <v>521</v>
      </c>
      <c r="L46" s="3" t="s">
        <v>522</v>
      </c>
      <c r="M46" s="3" t="s">
        <v>523</v>
      </c>
      <c r="N46" s="3" t="s">
        <v>524</v>
      </c>
      <c r="O46" s="3" t="s">
        <v>525</v>
      </c>
      <c r="P46" s="3" t="s">
        <v>206</v>
      </c>
      <c r="Q46" s="3" t="s">
        <v>52</v>
      </c>
      <c r="R46" s="3" t="s">
        <v>53</v>
      </c>
      <c r="S46" s="3" t="s">
        <v>217</v>
      </c>
      <c r="T46" s="3" t="s">
        <v>108</v>
      </c>
      <c r="U46" s="3" t="s">
        <v>526</v>
      </c>
      <c r="V46" s="3" t="s">
        <v>458</v>
      </c>
      <c r="W46" s="3" t="s">
        <v>58</v>
      </c>
      <c r="X46" s="3">
        <f t="shared" si="0"/>
        <v>3</v>
      </c>
      <c r="Y46" s="3" t="s">
        <v>53</v>
      </c>
      <c r="Z46" s="3" t="s">
        <v>53</v>
      </c>
      <c r="AA46" s="3" t="s">
        <v>53</v>
      </c>
      <c r="AB46" s="3" t="str">
        <f t="shared" si="1"/>
        <v>Effective</v>
      </c>
      <c r="AC46" s="3" t="str">
        <f t="shared" si="2"/>
        <v>Low</v>
      </c>
      <c r="AD46" s="3">
        <f t="shared" si="3"/>
        <v>3</v>
      </c>
      <c r="AE46" s="3">
        <f t="shared" si="4"/>
        <v>3</v>
      </c>
      <c r="AF46" s="3" t="s">
        <v>59</v>
      </c>
      <c r="AG46" s="3"/>
      <c r="AH46" s="3"/>
      <c r="AI46" s="3"/>
      <c r="AJ46" s="3"/>
      <c r="AK46" s="3"/>
      <c r="AL46" s="3" t="s">
        <v>60</v>
      </c>
      <c r="AM46" s="3" t="str">
        <f t="shared" si="5"/>
        <v>Must Have</v>
      </c>
    </row>
    <row r="47" spans="1:39" ht="120" customHeight="1" x14ac:dyDescent="0.35">
      <c r="A47" s="4">
        <v>46</v>
      </c>
      <c r="B47" s="3" t="s">
        <v>39</v>
      </c>
      <c r="C47" s="3" t="s">
        <v>507</v>
      </c>
      <c r="D47" s="3" t="s">
        <v>365</v>
      </c>
      <c r="E47" s="3" t="s">
        <v>508</v>
      </c>
      <c r="F47" s="3" t="s">
        <v>527</v>
      </c>
      <c r="G47" s="3" t="s">
        <v>367</v>
      </c>
      <c r="H47" s="3" t="s">
        <v>508</v>
      </c>
      <c r="I47" s="4" t="s">
        <v>528</v>
      </c>
      <c r="J47" s="3" t="s">
        <v>529</v>
      </c>
      <c r="K47" s="3" t="s">
        <v>530</v>
      </c>
      <c r="L47" s="3" t="s">
        <v>531</v>
      </c>
      <c r="M47" s="3" t="s">
        <v>532</v>
      </c>
      <c r="N47" s="3" t="s">
        <v>533</v>
      </c>
      <c r="O47" s="3" t="s">
        <v>534</v>
      </c>
      <c r="P47" s="3" t="s">
        <v>206</v>
      </c>
      <c r="Q47" s="3" t="s">
        <v>153</v>
      </c>
      <c r="R47" s="3" t="s">
        <v>53</v>
      </c>
      <c r="S47" s="3" t="s">
        <v>535</v>
      </c>
      <c r="T47" s="3" t="s">
        <v>108</v>
      </c>
      <c r="U47" s="3" t="s">
        <v>536</v>
      </c>
      <c r="V47" s="3" t="s">
        <v>537</v>
      </c>
      <c r="W47" s="3" t="s">
        <v>58</v>
      </c>
      <c r="X47" s="3">
        <f t="shared" si="0"/>
        <v>3</v>
      </c>
      <c r="Y47" s="3" t="s">
        <v>53</v>
      </c>
      <c r="Z47" s="3" t="s">
        <v>53</v>
      </c>
      <c r="AA47" s="3" t="s">
        <v>53</v>
      </c>
      <c r="AB47" s="3" t="str">
        <f t="shared" si="1"/>
        <v>Effective</v>
      </c>
      <c r="AC47" s="3" t="str">
        <f t="shared" si="2"/>
        <v>Low</v>
      </c>
      <c r="AD47" s="3">
        <f t="shared" si="3"/>
        <v>3</v>
      </c>
      <c r="AE47" s="3">
        <f t="shared" si="4"/>
        <v>3</v>
      </c>
      <c r="AF47" s="3" t="s">
        <v>59</v>
      </c>
      <c r="AG47" s="3"/>
      <c r="AH47" s="3"/>
      <c r="AI47" s="3"/>
      <c r="AJ47" s="3"/>
      <c r="AK47" s="3"/>
      <c r="AL47" s="3" t="s">
        <v>60</v>
      </c>
      <c r="AM47" s="3" t="str">
        <f t="shared" si="5"/>
        <v>Must Have</v>
      </c>
    </row>
    <row r="48" spans="1:39" ht="120" customHeight="1" x14ac:dyDescent="0.35">
      <c r="A48" s="4">
        <v>47</v>
      </c>
      <c r="B48" s="3" t="s">
        <v>39</v>
      </c>
      <c r="C48" s="3" t="s">
        <v>538</v>
      </c>
      <c r="D48" s="3" t="s">
        <v>112</v>
      </c>
      <c r="E48" s="3" t="s">
        <v>539</v>
      </c>
      <c r="F48" s="3" t="s">
        <v>114</v>
      </c>
      <c r="G48" s="3" t="s">
        <v>367</v>
      </c>
      <c r="H48" s="3" t="s">
        <v>539</v>
      </c>
      <c r="I48" s="4" t="s">
        <v>540</v>
      </c>
      <c r="J48" s="3" t="s">
        <v>541</v>
      </c>
      <c r="K48" s="3" t="s">
        <v>542</v>
      </c>
      <c r="L48" s="3" t="s">
        <v>543</v>
      </c>
      <c r="M48" s="3" t="s">
        <v>544</v>
      </c>
      <c r="N48" s="3" t="s">
        <v>545</v>
      </c>
      <c r="O48" s="3" t="s">
        <v>546</v>
      </c>
      <c r="P48" s="3" t="s">
        <v>122</v>
      </c>
      <c r="Q48" s="3" t="s">
        <v>52</v>
      </c>
      <c r="R48" s="3" t="s">
        <v>53</v>
      </c>
      <c r="S48" s="3" t="s">
        <v>217</v>
      </c>
      <c r="T48" s="3" t="s">
        <v>547</v>
      </c>
      <c r="U48" s="3" t="s">
        <v>548</v>
      </c>
      <c r="V48" s="3" t="s">
        <v>549</v>
      </c>
      <c r="W48" s="3" t="s">
        <v>58</v>
      </c>
      <c r="X48" s="3">
        <f t="shared" si="0"/>
        <v>3</v>
      </c>
      <c r="Y48" s="3" t="s">
        <v>53</v>
      </c>
      <c r="Z48" s="3" t="s">
        <v>53</v>
      </c>
      <c r="AA48" s="3" t="s">
        <v>53</v>
      </c>
      <c r="AB48" s="3" t="str">
        <f t="shared" si="1"/>
        <v>Effective</v>
      </c>
      <c r="AC48" s="3" t="str">
        <f t="shared" si="2"/>
        <v>Low</v>
      </c>
      <c r="AD48" s="3">
        <f t="shared" si="3"/>
        <v>3</v>
      </c>
      <c r="AE48" s="3">
        <f t="shared" si="4"/>
        <v>3</v>
      </c>
      <c r="AF48" s="3" t="s">
        <v>59</v>
      </c>
      <c r="AG48" s="3"/>
      <c r="AH48" s="3"/>
      <c r="AI48" s="3"/>
      <c r="AJ48" s="3"/>
      <c r="AK48" s="3"/>
      <c r="AL48" s="3" t="s">
        <v>60</v>
      </c>
      <c r="AM48" s="3" t="str">
        <f t="shared" si="5"/>
        <v>Must Have</v>
      </c>
    </row>
    <row r="49" spans="1:39" ht="120" customHeight="1" x14ac:dyDescent="0.35">
      <c r="A49" s="4">
        <v>48</v>
      </c>
      <c r="B49" s="3" t="s">
        <v>39</v>
      </c>
      <c r="C49" s="3" t="s">
        <v>550</v>
      </c>
      <c r="D49" s="3" t="s">
        <v>551</v>
      </c>
      <c r="E49" s="3" t="s">
        <v>552</v>
      </c>
      <c r="F49" s="3" t="s">
        <v>114</v>
      </c>
      <c r="G49" s="3" t="s">
        <v>367</v>
      </c>
      <c r="H49" s="3" t="s">
        <v>552</v>
      </c>
      <c r="I49" s="4" t="s">
        <v>553</v>
      </c>
      <c r="J49" s="3" t="s">
        <v>554</v>
      </c>
      <c r="K49" s="3" t="s">
        <v>555</v>
      </c>
      <c r="L49" s="3" t="s">
        <v>556</v>
      </c>
      <c r="M49" s="3" t="s">
        <v>557</v>
      </c>
      <c r="N49" s="3" t="s">
        <v>558</v>
      </c>
      <c r="O49" s="3" t="s">
        <v>559</v>
      </c>
      <c r="P49" s="3" t="s">
        <v>51</v>
      </c>
      <c r="Q49" s="3" t="s">
        <v>52</v>
      </c>
      <c r="R49" s="3" t="s">
        <v>53</v>
      </c>
      <c r="S49" s="3" t="s">
        <v>560</v>
      </c>
      <c r="T49" s="3" t="s">
        <v>561</v>
      </c>
      <c r="U49" s="3" t="s">
        <v>562</v>
      </c>
      <c r="V49" s="3" t="s">
        <v>563</v>
      </c>
      <c r="W49" s="3" t="s">
        <v>58</v>
      </c>
      <c r="X49" s="3">
        <f t="shared" si="0"/>
        <v>3</v>
      </c>
      <c r="Y49" s="3" t="s">
        <v>53</v>
      </c>
      <c r="Z49" s="3" t="s">
        <v>53</v>
      </c>
      <c r="AA49" s="3" t="s">
        <v>53</v>
      </c>
      <c r="AB49" s="3" t="str">
        <f t="shared" si="1"/>
        <v>Effective</v>
      </c>
      <c r="AC49" s="3" t="str">
        <f t="shared" si="2"/>
        <v>Low</v>
      </c>
      <c r="AD49" s="3">
        <f t="shared" si="3"/>
        <v>3</v>
      </c>
      <c r="AE49" s="3">
        <f t="shared" si="4"/>
        <v>3</v>
      </c>
      <c r="AF49" s="3" t="s">
        <v>59</v>
      </c>
      <c r="AG49" s="3"/>
      <c r="AH49" s="3"/>
      <c r="AI49" s="3"/>
      <c r="AJ49" s="3"/>
      <c r="AK49" s="3"/>
      <c r="AL49" s="3" t="s">
        <v>60</v>
      </c>
      <c r="AM49" s="3" t="str">
        <f t="shared" si="5"/>
        <v>Must Have</v>
      </c>
    </row>
    <row r="50" spans="1:39" ht="120" customHeight="1" x14ac:dyDescent="0.35">
      <c r="A50" s="4">
        <v>49</v>
      </c>
      <c r="B50" s="3" t="s">
        <v>39</v>
      </c>
      <c r="C50" s="3" t="s">
        <v>550</v>
      </c>
      <c r="D50" s="3" t="s">
        <v>551</v>
      </c>
      <c r="E50" s="3" t="s">
        <v>552</v>
      </c>
      <c r="F50" s="3" t="s">
        <v>42</v>
      </c>
      <c r="G50" s="3" t="s">
        <v>367</v>
      </c>
      <c r="H50" s="3" t="s">
        <v>552</v>
      </c>
      <c r="I50" s="4" t="s">
        <v>564</v>
      </c>
      <c r="J50" s="3" t="s">
        <v>565</v>
      </c>
      <c r="K50" s="3" t="s">
        <v>566</v>
      </c>
      <c r="L50" s="3" t="s">
        <v>567</v>
      </c>
      <c r="M50" s="3" t="s">
        <v>568</v>
      </c>
      <c r="N50" s="3" t="s">
        <v>569</v>
      </c>
      <c r="O50" s="3" t="s">
        <v>570</v>
      </c>
      <c r="P50" s="3" t="s">
        <v>51</v>
      </c>
      <c r="Q50" s="3" t="s">
        <v>52</v>
      </c>
      <c r="R50" s="3" t="s">
        <v>53</v>
      </c>
      <c r="S50" s="3" t="s">
        <v>571</v>
      </c>
      <c r="T50" s="3" t="s">
        <v>108</v>
      </c>
      <c r="U50" s="3" t="s">
        <v>572</v>
      </c>
      <c r="V50" s="3" t="s">
        <v>573</v>
      </c>
      <c r="W50" s="3" t="s">
        <v>58</v>
      </c>
      <c r="X50" s="3">
        <f t="shared" si="0"/>
        <v>3</v>
      </c>
      <c r="Y50" s="3" t="s">
        <v>53</v>
      </c>
      <c r="Z50" s="3" t="s">
        <v>53</v>
      </c>
      <c r="AA50" s="3" t="s">
        <v>53</v>
      </c>
      <c r="AB50" s="3" t="str">
        <f t="shared" si="1"/>
        <v>Effective</v>
      </c>
      <c r="AC50" s="3" t="str">
        <f t="shared" si="2"/>
        <v>Low</v>
      </c>
      <c r="AD50" s="3">
        <f t="shared" si="3"/>
        <v>3</v>
      </c>
      <c r="AE50" s="3">
        <f t="shared" si="4"/>
        <v>3</v>
      </c>
      <c r="AF50" s="3" t="s">
        <v>59</v>
      </c>
      <c r="AG50" s="3"/>
      <c r="AH50" s="3"/>
      <c r="AI50" s="3"/>
      <c r="AJ50" s="3"/>
      <c r="AK50" s="3"/>
      <c r="AL50" s="3" t="s">
        <v>60</v>
      </c>
      <c r="AM50" s="3" t="str">
        <f t="shared" si="5"/>
        <v>Must Have</v>
      </c>
    </row>
    <row r="51" spans="1:39" ht="120" customHeight="1" x14ac:dyDescent="0.35">
      <c r="A51" s="4">
        <v>50</v>
      </c>
      <c r="B51" s="3" t="s">
        <v>39</v>
      </c>
      <c r="C51" s="3" t="s">
        <v>550</v>
      </c>
      <c r="D51" s="3" t="s">
        <v>551</v>
      </c>
      <c r="E51" s="3" t="s">
        <v>552</v>
      </c>
      <c r="F51" s="3" t="s">
        <v>114</v>
      </c>
      <c r="G51" s="3" t="s">
        <v>367</v>
      </c>
      <c r="H51" s="3" t="s">
        <v>552</v>
      </c>
      <c r="I51" s="4" t="s">
        <v>574</v>
      </c>
      <c r="J51" s="3" t="s">
        <v>575</v>
      </c>
      <c r="K51" s="3" t="s">
        <v>576</v>
      </c>
      <c r="L51" s="3" t="s">
        <v>577</v>
      </c>
      <c r="M51" s="3" t="s">
        <v>578</v>
      </c>
      <c r="N51" s="3" t="s">
        <v>579</v>
      </c>
      <c r="O51" s="3" t="s">
        <v>580</v>
      </c>
      <c r="P51" s="3" t="s">
        <v>122</v>
      </c>
      <c r="Q51" s="3" t="s">
        <v>52</v>
      </c>
      <c r="R51" s="3" t="s">
        <v>154</v>
      </c>
      <c r="S51" s="3" t="s">
        <v>177</v>
      </c>
      <c r="T51" s="3" t="s">
        <v>581</v>
      </c>
      <c r="U51" s="3" t="s">
        <v>582</v>
      </c>
      <c r="V51" s="3" t="s">
        <v>583</v>
      </c>
      <c r="W51" s="3" t="s">
        <v>159</v>
      </c>
      <c r="X51" s="3">
        <f t="shared" si="0"/>
        <v>2</v>
      </c>
      <c r="Y51" s="3" t="s">
        <v>53</v>
      </c>
      <c r="Z51" s="3" t="s">
        <v>53</v>
      </c>
      <c r="AA51" s="3" t="s">
        <v>53</v>
      </c>
      <c r="AB51" s="3" t="str">
        <f t="shared" si="1"/>
        <v>Effective</v>
      </c>
      <c r="AC51" s="3" t="str">
        <f t="shared" si="2"/>
        <v>Low</v>
      </c>
      <c r="AD51" s="3">
        <f t="shared" si="3"/>
        <v>2</v>
      </c>
      <c r="AE51" s="3">
        <f t="shared" si="4"/>
        <v>2</v>
      </c>
      <c r="AF51" s="3" t="s">
        <v>59</v>
      </c>
      <c r="AG51" s="3"/>
      <c r="AH51" s="3"/>
      <c r="AI51" s="3"/>
      <c r="AJ51" s="3"/>
      <c r="AK51" s="3"/>
      <c r="AL51" s="3" t="s">
        <v>60</v>
      </c>
      <c r="AM51" s="3" t="str">
        <f t="shared" si="5"/>
        <v>Should Have</v>
      </c>
    </row>
    <row r="52" spans="1:39" ht="120" customHeight="1" x14ac:dyDescent="0.35">
      <c r="A52" s="4">
        <v>51</v>
      </c>
      <c r="B52" s="3" t="s">
        <v>39</v>
      </c>
      <c r="C52" s="3" t="s">
        <v>584</v>
      </c>
      <c r="D52" s="3" t="s">
        <v>112</v>
      </c>
      <c r="E52" s="3" t="s">
        <v>585</v>
      </c>
      <c r="F52" s="3" t="s">
        <v>114</v>
      </c>
      <c r="G52" s="3" t="s">
        <v>367</v>
      </c>
      <c r="H52" s="3" t="s">
        <v>585</v>
      </c>
      <c r="I52" s="4" t="s">
        <v>586</v>
      </c>
      <c r="J52" s="3" t="s">
        <v>587</v>
      </c>
      <c r="K52" s="3" t="s">
        <v>588</v>
      </c>
      <c r="L52" s="3" t="s">
        <v>589</v>
      </c>
      <c r="M52" s="3" t="s">
        <v>590</v>
      </c>
      <c r="N52" s="3" t="s">
        <v>591</v>
      </c>
      <c r="O52" s="3" t="s">
        <v>592</v>
      </c>
      <c r="P52" s="3" t="s">
        <v>122</v>
      </c>
      <c r="Q52" s="3" t="s">
        <v>52</v>
      </c>
      <c r="R52" s="3" t="s">
        <v>53</v>
      </c>
      <c r="S52" s="3" t="s">
        <v>593</v>
      </c>
      <c r="T52" s="3" t="s">
        <v>108</v>
      </c>
      <c r="U52" s="3" t="s">
        <v>594</v>
      </c>
      <c r="V52" s="3" t="s">
        <v>595</v>
      </c>
      <c r="W52" s="3" t="s">
        <v>58</v>
      </c>
      <c r="X52" s="3">
        <f t="shared" si="0"/>
        <v>3</v>
      </c>
      <c r="Y52" s="3" t="s">
        <v>53</v>
      </c>
      <c r="Z52" s="3" t="s">
        <v>53</v>
      </c>
      <c r="AA52" s="3" t="s">
        <v>53</v>
      </c>
      <c r="AB52" s="3" t="str">
        <f t="shared" si="1"/>
        <v>Effective</v>
      </c>
      <c r="AC52" s="3" t="str">
        <f t="shared" si="2"/>
        <v>Low</v>
      </c>
      <c r="AD52" s="3">
        <f t="shared" si="3"/>
        <v>3</v>
      </c>
      <c r="AE52" s="3">
        <f t="shared" si="4"/>
        <v>3</v>
      </c>
      <c r="AF52" s="3" t="s">
        <v>59</v>
      </c>
      <c r="AG52" s="3"/>
      <c r="AH52" s="3"/>
      <c r="AI52" s="3"/>
      <c r="AJ52" s="3"/>
      <c r="AK52" s="3"/>
      <c r="AL52" s="3" t="s">
        <v>60</v>
      </c>
      <c r="AM52" s="3" t="str">
        <f t="shared" si="5"/>
        <v>Must Have</v>
      </c>
    </row>
    <row r="53" spans="1:39" ht="120" customHeight="1" x14ac:dyDescent="0.35">
      <c r="A53" s="4">
        <v>52</v>
      </c>
      <c r="B53" s="3" t="s">
        <v>39</v>
      </c>
      <c r="C53" s="3" t="s">
        <v>596</v>
      </c>
      <c r="D53" s="3" t="s">
        <v>365</v>
      </c>
      <c r="E53" s="3" t="s">
        <v>597</v>
      </c>
      <c r="F53" s="3" t="s">
        <v>114</v>
      </c>
      <c r="G53" s="3" t="s">
        <v>367</v>
      </c>
      <c r="H53" s="3" t="s">
        <v>597</v>
      </c>
      <c r="I53" s="4" t="s">
        <v>598</v>
      </c>
      <c r="J53" s="3" t="s">
        <v>599</v>
      </c>
      <c r="K53" s="3" t="s">
        <v>600</v>
      </c>
      <c r="L53" s="3" t="s">
        <v>601</v>
      </c>
      <c r="M53" s="3" t="s">
        <v>602</v>
      </c>
      <c r="N53" s="3" t="s">
        <v>603</v>
      </c>
      <c r="O53" s="3" t="s">
        <v>604</v>
      </c>
      <c r="P53" s="3" t="s">
        <v>122</v>
      </c>
      <c r="Q53" s="3" t="s">
        <v>52</v>
      </c>
      <c r="R53" s="3" t="s">
        <v>53</v>
      </c>
      <c r="S53" s="3" t="s">
        <v>217</v>
      </c>
      <c r="T53" s="3" t="s">
        <v>247</v>
      </c>
      <c r="U53" s="3" t="s">
        <v>605</v>
      </c>
      <c r="V53" s="3" t="s">
        <v>249</v>
      </c>
      <c r="W53" s="3" t="s">
        <v>58</v>
      </c>
      <c r="X53" s="3">
        <f t="shared" si="0"/>
        <v>3</v>
      </c>
      <c r="Y53" s="3" t="s">
        <v>53</v>
      </c>
      <c r="Z53" s="3" t="s">
        <v>53</v>
      </c>
      <c r="AA53" s="3" t="s">
        <v>53</v>
      </c>
      <c r="AB53" s="3" t="str">
        <f t="shared" si="1"/>
        <v>Effective</v>
      </c>
      <c r="AC53" s="3" t="str">
        <f t="shared" si="2"/>
        <v>Low</v>
      </c>
      <c r="AD53" s="3">
        <f t="shared" si="3"/>
        <v>3</v>
      </c>
      <c r="AE53" s="3">
        <f t="shared" si="4"/>
        <v>3</v>
      </c>
      <c r="AF53" s="3" t="s">
        <v>59</v>
      </c>
      <c r="AG53" s="3"/>
      <c r="AH53" s="3"/>
      <c r="AI53" s="3"/>
      <c r="AJ53" s="3"/>
      <c r="AK53" s="3"/>
      <c r="AL53" s="3" t="s">
        <v>60</v>
      </c>
      <c r="AM53" s="3" t="str">
        <f t="shared" si="5"/>
        <v>Must Have</v>
      </c>
    </row>
    <row r="54" spans="1:39" ht="120" customHeight="1" x14ac:dyDescent="0.35">
      <c r="A54" s="4">
        <v>53</v>
      </c>
      <c r="B54" s="3" t="s">
        <v>39</v>
      </c>
      <c r="C54" s="3" t="s">
        <v>596</v>
      </c>
      <c r="D54" s="3" t="s">
        <v>365</v>
      </c>
      <c r="E54" s="3" t="s">
        <v>597</v>
      </c>
      <c r="F54" s="3" t="s">
        <v>114</v>
      </c>
      <c r="G54" s="3" t="s">
        <v>367</v>
      </c>
      <c r="H54" s="3" t="s">
        <v>597</v>
      </c>
      <c r="I54" s="4" t="s">
        <v>606</v>
      </c>
      <c r="J54" s="3" t="s">
        <v>607</v>
      </c>
      <c r="K54" s="3" t="s">
        <v>608</v>
      </c>
      <c r="L54" s="3" t="s">
        <v>609</v>
      </c>
      <c r="M54" s="3" t="s">
        <v>610</v>
      </c>
      <c r="N54" s="3" t="s">
        <v>611</v>
      </c>
      <c r="O54" s="3" t="s">
        <v>612</v>
      </c>
      <c r="P54" s="3" t="s">
        <v>206</v>
      </c>
      <c r="Q54" s="3" t="s">
        <v>153</v>
      </c>
      <c r="R54" s="3" t="s">
        <v>53</v>
      </c>
      <c r="S54" s="3" t="s">
        <v>217</v>
      </c>
      <c r="T54" s="3" t="s">
        <v>108</v>
      </c>
      <c r="U54" s="3" t="s">
        <v>613</v>
      </c>
      <c r="V54" s="3" t="s">
        <v>458</v>
      </c>
      <c r="W54" s="3" t="s">
        <v>58</v>
      </c>
      <c r="X54" s="3">
        <f t="shared" si="0"/>
        <v>3</v>
      </c>
      <c r="Y54" s="3" t="s">
        <v>53</v>
      </c>
      <c r="Z54" s="3" t="s">
        <v>53</v>
      </c>
      <c r="AA54" s="3" t="s">
        <v>53</v>
      </c>
      <c r="AB54" s="3" t="str">
        <f t="shared" si="1"/>
        <v>Effective</v>
      </c>
      <c r="AC54" s="3" t="str">
        <f t="shared" si="2"/>
        <v>Low</v>
      </c>
      <c r="AD54" s="3">
        <f t="shared" si="3"/>
        <v>3</v>
      </c>
      <c r="AE54" s="3">
        <f t="shared" si="4"/>
        <v>3</v>
      </c>
      <c r="AF54" s="3" t="s">
        <v>59</v>
      </c>
      <c r="AG54" s="3"/>
      <c r="AH54" s="3"/>
      <c r="AI54" s="3"/>
      <c r="AJ54" s="3"/>
      <c r="AK54" s="3"/>
      <c r="AL54" s="3" t="s">
        <v>60</v>
      </c>
      <c r="AM54" s="3" t="str">
        <f t="shared" si="5"/>
        <v>Must Have</v>
      </c>
    </row>
    <row r="55" spans="1:39" ht="120" customHeight="1" x14ac:dyDescent="0.35">
      <c r="A55" s="4">
        <v>54</v>
      </c>
      <c r="B55" s="3" t="s">
        <v>39</v>
      </c>
      <c r="C55" s="3" t="s">
        <v>614</v>
      </c>
      <c r="D55" s="3" t="s">
        <v>615</v>
      </c>
      <c r="E55" s="3" t="s">
        <v>616</v>
      </c>
      <c r="F55" s="3" t="s">
        <v>114</v>
      </c>
      <c r="G55" s="3" t="s">
        <v>367</v>
      </c>
      <c r="H55" s="3" t="s">
        <v>616</v>
      </c>
      <c r="I55" s="4" t="s">
        <v>617</v>
      </c>
      <c r="J55" s="3" t="s">
        <v>618</v>
      </c>
      <c r="K55" s="3" t="s">
        <v>619</v>
      </c>
      <c r="L55" s="3" t="s">
        <v>620</v>
      </c>
      <c r="M55" s="3" t="s">
        <v>621</v>
      </c>
      <c r="N55" s="3" t="s">
        <v>622</v>
      </c>
      <c r="O55" s="3" t="s">
        <v>623</v>
      </c>
      <c r="P55" s="3" t="s">
        <v>122</v>
      </c>
      <c r="Q55" s="3" t="s">
        <v>52</v>
      </c>
      <c r="R55" s="3" t="s">
        <v>53</v>
      </c>
      <c r="S55" s="3" t="s">
        <v>624</v>
      </c>
      <c r="T55" s="3" t="s">
        <v>625</v>
      </c>
      <c r="U55" s="3" t="s">
        <v>626</v>
      </c>
      <c r="V55" s="3" t="s">
        <v>627</v>
      </c>
      <c r="W55" s="3" t="s">
        <v>58</v>
      </c>
      <c r="X55" s="3">
        <f t="shared" si="0"/>
        <v>3</v>
      </c>
      <c r="Y55" s="3" t="s">
        <v>53</v>
      </c>
      <c r="Z55" s="3" t="s">
        <v>53</v>
      </c>
      <c r="AA55" s="3" t="s">
        <v>53</v>
      </c>
      <c r="AB55" s="3" t="str">
        <f t="shared" si="1"/>
        <v>Effective</v>
      </c>
      <c r="AC55" s="3" t="str">
        <f t="shared" si="2"/>
        <v>Low</v>
      </c>
      <c r="AD55" s="3">
        <f t="shared" si="3"/>
        <v>3</v>
      </c>
      <c r="AE55" s="3">
        <f t="shared" si="4"/>
        <v>3</v>
      </c>
      <c r="AF55" s="3" t="s">
        <v>59</v>
      </c>
      <c r="AG55" s="3"/>
      <c r="AH55" s="3"/>
      <c r="AI55" s="3"/>
      <c r="AJ55" s="3"/>
      <c r="AK55" s="3"/>
      <c r="AL55" s="3" t="s">
        <v>60</v>
      </c>
      <c r="AM55" s="3" t="str">
        <f t="shared" si="5"/>
        <v>Must Have</v>
      </c>
    </row>
    <row r="56" spans="1:39" ht="120" customHeight="1" x14ac:dyDescent="0.35">
      <c r="A56" s="4">
        <v>55</v>
      </c>
      <c r="B56" s="3" t="s">
        <v>39</v>
      </c>
      <c r="C56" s="3" t="s">
        <v>628</v>
      </c>
      <c r="D56" s="3" t="s">
        <v>615</v>
      </c>
      <c r="E56" s="3" t="s">
        <v>629</v>
      </c>
      <c r="F56" s="3" t="s">
        <v>114</v>
      </c>
      <c r="G56" s="3" t="s">
        <v>367</v>
      </c>
      <c r="H56" s="3" t="s">
        <v>629</v>
      </c>
      <c r="I56" s="4" t="s">
        <v>630</v>
      </c>
      <c r="J56" s="3" t="s">
        <v>631</v>
      </c>
      <c r="K56" s="3" t="s">
        <v>632</v>
      </c>
      <c r="L56" s="3" t="s">
        <v>633</v>
      </c>
      <c r="M56" s="3" t="s">
        <v>634</v>
      </c>
      <c r="N56" s="3" t="s">
        <v>635</v>
      </c>
      <c r="O56" s="3" t="s">
        <v>636</v>
      </c>
      <c r="P56" s="3" t="s">
        <v>206</v>
      </c>
      <c r="Q56" s="3" t="s">
        <v>52</v>
      </c>
      <c r="R56" s="3" t="s">
        <v>53</v>
      </c>
      <c r="S56" s="3" t="s">
        <v>217</v>
      </c>
      <c r="T56" s="3" t="s">
        <v>108</v>
      </c>
      <c r="U56" s="3" t="s">
        <v>637</v>
      </c>
      <c r="V56" s="3" t="s">
        <v>458</v>
      </c>
      <c r="W56" s="3" t="s">
        <v>58</v>
      </c>
      <c r="X56" s="3">
        <f t="shared" si="0"/>
        <v>3</v>
      </c>
      <c r="Y56" s="3" t="s">
        <v>53</v>
      </c>
      <c r="Z56" s="3" t="s">
        <v>53</v>
      </c>
      <c r="AA56" s="3" t="s">
        <v>53</v>
      </c>
      <c r="AB56" s="3" t="str">
        <f t="shared" si="1"/>
        <v>Effective</v>
      </c>
      <c r="AC56" s="3" t="str">
        <f t="shared" si="2"/>
        <v>Low</v>
      </c>
      <c r="AD56" s="3">
        <f t="shared" si="3"/>
        <v>3</v>
      </c>
      <c r="AE56" s="3">
        <f t="shared" si="4"/>
        <v>3</v>
      </c>
      <c r="AF56" s="3" t="s">
        <v>59</v>
      </c>
      <c r="AG56" s="3"/>
      <c r="AH56" s="3"/>
      <c r="AI56" s="3"/>
      <c r="AJ56" s="3"/>
      <c r="AK56" s="3"/>
      <c r="AL56" s="3" t="s">
        <v>60</v>
      </c>
      <c r="AM56" s="3" t="str">
        <f t="shared" si="5"/>
        <v>Must Have</v>
      </c>
    </row>
    <row r="57" spans="1:39" ht="120" customHeight="1" x14ac:dyDescent="0.35">
      <c r="A57" s="4">
        <v>56</v>
      </c>
      <c r="B57" s="3" t="s">
        <v>39</v>
      </c>
      <c r="C57" s="3" t="s">
        <v>638</v>
      </c>
      <c r="D57" s="3" t="s">
        <v>639</v>
      </c>
      <c r="E57" s="3" t="s">
        <v>640</v>
      </c>
      <c r="F57" s="3" t="s">
        <v>527</v>
      </c>
      <c r="G57" s="3" t="s">
        <v>367</v>
      </c>
      <c r="H57" s="3" t="s">
        <v>640</v>
      </c>
      <c r="I57" s="4" t="s">
        <v>641</v>
      </c>
      <c r="J57" s="3" t="s">
        <v>642</v>
      </c>
      <c r="K57" s="3" t="s">
        <v>643</v>
      </c>
      <c r="L57" s="3" t="s">
        <v>644</v>
      </c>
      <c r="M57" s="3" t="s">
        <v>645</v>
      </c>
      <c r="N57" s="3" t="s">
        <v>646</v>
      </c>
      <c r="O57" s="3" t="s">
        <v>647</v>
      </c>
      <c r="P57" s="3" t="s">
        <v>51</v>
      </c>
      <c r="Q57" s="3" t="s">
        <v>52</v>
      </c>
      <c r="R57" s="3" t="s">
        <v>53</v>
      </c>
      <c r="S57" s="3" t="s">
        <v>648</v>
      </c>
      <c r="T57" s="3" t="s">
        <v>649</v>
      </c>
      <c r="U57" s="3" t="s">
        <v>650</v>
      </c>
      <c r="V57" s="3" t="s">
        <v>651</v>
      </c>
      <c r="W57" s="3" t="s">
        <v>58</v>
      </c>
      <c r="X57" s="3">
        <f t="shared" si="0"/>
        <v>3</v>
      </c>
      <c r="Y57" s="3" t="s">
        <v>53</v>
      </c>
      <c r="Z57" s="3" t="s">
        <v>53</v>
      </c>
      <c r="AA57" s="3" t="s">
        <v>53</v>
      </c>
      <c r="AB57" s="3" t="str">
        <f t="shared" si="1"/>
        <v>Effective</v>
      </c>
      <c r="AC57" s="3" t="str">
        <f t="shared" si="2"/>
        <v>Low</v>
      </c>
      <c r="AD57" s="3">
        <f t="shared" si="3"/>
        <v>3</v>
      </c>
      <c r="AE57" s="3">
        <f t="shared" si="4"/>
        <v>3</v>
      </c>
      <c r="AF57" s="3" t="s">
        <v>59</v>
      </c>
      <c r="AG57" s="3"/>
      <c r="AH57" s="3"/>
      <c r="AI57" s="3"/>
      <c r="AJ57" s="3"/>
      <c r="AK57" s="3"/>
      <c r="AL57" s="3" t="s">
        <v>60</v>
      </c>
      <c r="AM57" s="3" t="str">
        <f t="shared" si="5"/>
        <v>Must Have</v>
      </c>
    </row>
    <row r="58" spans="1:39" ht="120" customHeight="1" x14ac:dyDescent="0.35">
      <c r="A58" s="4">
        <v>57</v>
      </c>
      <c r="B58" s="3" t="s">
        <v>39</v>
      </c>
      <c r="C58" s="3" t="s">
        <v>652</v>
      </c>
      <c r="D58" s="3" t="s">
        <v>365</v>
      </c>
      <c r="E58" s="3" t="s">
        <v>653</v>
      </c>
      <c r="F58" s="3" t="s">
        <v>114</v>
      </c>
      <c r="G58" s="3" t="s">
        <v>367</v>
      </c>
      <c r="H58" s="3" t="s">
        <v>653</v>
      </c>
      <c r="I58" s="4" t="s">
        <v>654</v>
      </c>
      <c r="J58" s="3" t="s">
        <v>655</v>
      </c>
      <c r="K58" s="3" t="s">
        <v>656</v>
      </c>
      <c r="L58" s="3" t="s">
        <v>657</v>
      </c>
      <c r="M58" s="3" t="s">
        <v>658</v>
      </c>
      <c r="N58" s="3" t="s">
        <v>659</v>
      </c>
      <c r="O58" s="3" t="s">
        <v>660</v>
      </c>
      <c r="P58" s="3" t="s">
        <v>206</v>
      </c>
      <c r="Q58" s="3" t="s">
        <v>52</v>
      </c>
      <c r="R58" s="3" t="s">
        <v>53</v>
      </c>
      <c r="S58" s="3" t="s">
        <v>217</v>
      </c>
      <c r="T58" s="3" t="s">
        <v>108</v>
      </c>
      <c r="U58" s="3" t="s">
        <v>661</v>
      </c>
      <c r="V58" s="3" t="s">
        <v>458</v>
      </c>
      <c r="W58" s="3" t="s">
        <v>58</v>
      </c>
      <c r="X58" s="3">
        <f t="shared" si="0"/>
        <v>3</v>
      </c>
      <c r="Y58" s="3" t="s">
        <v>53</v>
      </c>
      <c r="Z58" s="3" t="s">
        <v>53</v>
      </c>
      <c r="AA58" s="3" t="s">
        <v>53</v>
      </c>
      <c r="AB58" s="3" t="str">
        <f t="shared" si="1"/>
        <v>Effective</v>
      </c>
      <c r="AC58" s="3" t="str">
        <f t="shared" si="2"/>
        <v>Low</v>
      </c>
      <c r="AD58" s="3">
        <f t="shared" si="3"/>
        <v>3</v>
      </c>
      <c r="AE58" s="3">
        <f t="shared" si="4"/>
        <v>3</v>
      </c>
      <c r="AF58" s="3" t="s">
        <v>59</v>
      </c>
      <c r="AG58" s="3"/>
      <c r="AH58" s="3"/>
      <c r="AI58" s="3"/>
      <c r="AJ58" s="3"/>
      <c r="AK58" s="3"/>
      <c r="AL58" s="3" t="s">
        <v>60</v>
      </c>
      <c r="AM58" s="3" t="str">
        <f t="shared" si="5"/>
        <v>Must Have</v>
      </c>
    </row>
    <row r="59" spans="1:39" ht="120" customHeight="1" x14ac:dyDescent="0.35">
      <c r="A59" s="4">
        <v>58</v>
      </c>
      <c r="B59" s="3" t="s">
        <v>39</v>
      </c>
      <c r="C59" s="3" t="s">
        <v>662</v>
      </c>
      <c r="D59" s="3" t="s">
        <v>365</v>
      </c>
      <c r="E59" s="3" t="s">
        <v>663</v>
      </c>
      <c r="F59" s="3" t="s">
        <v>114</v>
      </c>
      <c r="G59" s="3" t="s">
        <v>367</v>
      </c>
      <c r="H59" s="3" t="s">
        <v>663</v>
      </c>
      <c r="I59" s="4" t="s">
        <v>664</v>
      </c>
      <c r="J59" s="3" t="s">
        <v>665</v>
      </c>
      <c r="K59" s="3" t="s">
        <v>666</v>
      </c>
      <c r="L59" s="3" t="s">
        <v>667</v>
      </c>
      <c r="M59" s="3" t="s">
        <v>668</v>
      </c>
      <c r="N59" s="3" t="s">
        <v>669</v>
      </c>
      <c r="O59" s="3" t="s">
        <v>670</v>
      </c>
      <c r="P59" s="3" t="s">
        <v>206</v>
      </c>
      <c r="Q59" s="3" t="s">
        <v>153</v>
      </c>
      <c r="R59" s="3" t="s">
        <v>53</v>
      </c>
      <c r="S59" s="3" t="s">
        <v>217</v>
      </c>
      <c r="T59" s="3" t="s">
        <v>671</v>
      </c>
      <c r="U59" s="3" t="s">
        <v>672</v>
      </c>
      <c r="V59" s="3" t="s">
        <v>673</v>
      </c>
      <c r="W59" s="3" t="s">
        <v>58</v>
      </c>
      <c r="X59" s="3">
        <f t="shared" si="0"/>
        <v>3</v>
      </c>
      <c r="Y59" s="3" t="s">
        <v>53</v>
      </c>
      <c r="Z59" s="3" t="s">
        <v>53</v>
      </c>
      <c r="AA59" s="3" t="s">
        <v>53</v>
      </c>
      <c r="AB59" s="3" t="str">
        <f t="shared" si="1"/>
        <v>Effective</v>
      </c>
      <c r="AC59" s="3" t="str">
        <f t="shared" si="2"/>
        <v>Low</v>
      </c>
      <c r="AD59" s="3">
        <f t="shared" si="3"/>
        <v>3</v>
      </c>
      <c r="AE59" s="3">
        <f t="shared" si="4"/>
        <v>3</v>
      </c>
      <c r="AF59" s="3" t="s">
        <v>59</v>
      </c>
      <c r="AG59" s="3"/>
      <c r="AH59" s="3"/>
      <c r="AI59" s="3"/>
      <c r="AJ59" s="3"/>
      <c r="AK59" s="3"/>
      <c r="AL59" s="3" t="s">
        <v>60</v>
      </c>
      <c r="AM59" s="3" t="str">
        <f t="shared" si="5"/>
        <v>Must Have</v>
      </c>
    </row>
    <row r="60" spans="1:39" ht="120" customHeight="1" x14ac:dyDescent="0.35">
      <c r="A60" s="4">
        <v>59</v>
      </c>
      <c r="B60" s="3" t="s">
        <v>39</v>
      </c>
      <c r="C60" s="3" t="s">
        <v>674</v>
      </c>
      <c r="D60" s="3" t="s">
        <v>615</v>
      </c>
      <c r="E60" s="3" t="s">
        <v>675</v>
      </c>
      <c r="F60" s="3" t="s">
        <v>42</v>
      </c>
      <c r="G60" s="3" t="s">
        <v>367</v>
      </c>
      <c r="H60" s="3" t="s">
        <v>675</v>
      </c>
      <c r="I60" s="4" t="s">
        <v>676</v>
      </c>
      <c r="J60" s="3" t="s">
        <v>677</v>
      </c>
      <c r="K60" s="3" t="s">
        <v>678</v>
      </c>
      <c r="L60" s="3" t="s">
        <v>679</v>
      </c>
      <c r="M60" s="3" t="s">
        <v>680</v>
      </c>
      <c r="N60" s="3" t="s">
        <v>681</v>
      </c>
      <c r="O60" s="3" t="s">
        <v>682</v>
      </c>
      <c r="P60" s="3" t="s">
        <v>122</v>
      </c>
      <c r="Q60" s="3" t="s">
        <v>153</v>
      </c>
      <c r="R60" s="3" t="s">
        <v>53</v>
      </c>
      <c r="S60" s="3" t="s">
        <v>624</v>
      </c>
      <c r="T60" s="3" t="s">
        <v>108</v>
      </c>
      <c r="U60" s="3" t="s">
        <v>683</v>
      </c>
      <c r="V60" s="3" t="s">
        <v>684</v>
      </c>
      <c r="W60" s="3" t="s">
        <v>58</v>
      </c>
      <c r="X60" s="3">
        <f t="shared" si="0"/>
        <v>3</v>
      </c>
      <c r="Y60" s="3" t="s">
        <v>53</v>
      </c>
      <c r="Z60" s="3" t="s">
        <v>53</v>
      </c>
      <c r="AA60" s="3" t="s">
        <v>53</v>
      </c>
      <c r="AB60" s="3" t="str">
        <f t="shared" si="1"/>
        <v>Effective</v>
      </c>
      <c r="AC60" s="3" t="str">
        <f t="shared" si="2"/>
        <v>Low</v>
      </c>
      <c r="AD60" s="3">
        <f t="shared" si="3"/>
        <v>3</v>
      </c>
      <c r="AE60" s="3">
        <f t="shared" si="4"/>
        <v>3</v>
      </c>
      <c r="AF60" s="3" t="s">
        <v>59</v>
      </c>
      <c r="AG60" s="3"/>
      <c r="AH60" s="3"/>
      <c r="AI60" s="3"/>
      <c r="AJ60" s="3"/>
      <c r="AK60" s="3"/>
      <c r="AL60" s="3" t="s">
        <v>60</v>
      </c>
      <c r="AM60" s="3" t="str">
        <f t="shared" si="5"/>
        <v>Must Have</v>
      </c>
    </row>
    <row r="61" spans="1:39" ht="120" customHeight="1" x14ac:dyDescent="0.35">
      <c r="A61" s="4">
        <v>60</v>
      </c>
      <c r="B61" s="3" t="s">
        <v>39</v>
      </c>
      <c r="C61" s="3" t="s">
        <v>685</v>
      </c>
      <c r="D61" s="3" t="s">
        <v>365</v>
      </c>
      <c r="E61" s="3" t="s">
        <v>686</v>
      </c>
      <c r="F61" s="3" t="s">
        <v>114</v>
      </c>
      <c r="G61" s="3" t="s">
        <v>367</v>
      </c>
      <c r="H61" s="3" t="s">
        <v>686</v>
      </c>
      <c r="I61" s="4" t="s">
        <v>687</v>
      </c>
      <c r="J61" s="3" t="s">
        <v>688</v>
      </c>
      <c r="K61" s="3" t="s">
        <v>689</v>
      </c>
      <c r="L61" s="3" t="s">
        <v>690</v>
      </c>
      <c r="M61" s="3" t="s">
        <v>691</v>
      </c>
      <c r="N61" s="3" t="s">
        <v>692</v>
      </c>
      <c r="O61" s="3" t="s">
        <v>693</v>
      </c>
      <c r="P61" s="3" t="s">
        <v>206</v>
      </c>
      <c r="Q61" s="3" t="s">
        <v>153</v>
      </c>
      <c r="R61" s="3" t="s">
        <v>53</v>
      </c>
      <c r="S61" s="3" t="s">
        <v>217</v>
      </c>
      <c r="T61" s="3" t="s">
        <v>108</v>
      </c>
      <c r="U61" s="3" t="s">
        <v>694</v>
      </c>
      <c r="V61" s="3" t="s">
        <v>458</v>
      </c>
      <c r="W61" s="3" t="s">
        <v>58</v>
      </c>
      <c r="X61" s="3">
        <f t="shared" si="0"/>
        <v>3</v>
      </c>
      <c r="Y61" s="3" t="s">
        <v>53</v>
      </c>
      <c r="Z61" s="3" t="s">
        <v>53</v>
      </c>
      <c r="AA61" s="3" t="s">
        <v>53</v>
      </c>
      <c r="AB61" s="3" t="str">
        <f t="shared" si="1"/>
        <v>Effective</v>
      </c>
      <c r="AC61" s="3" t="str">
        <f t="shared" si="2"/>
        <v>Low</v>
      </c>
      <c r="AD61" s="3">
        <f t="shared" si="3"/>
        <v>3</v>
      </c>
      <c r="AE61" s="3">
        <f t="shared" si="4"/>
        <v>3</v>
      </c>
      <c r="AF61" s="3" t="s">
        <v>59</v>
      </c>
      <c r="AG61" s="3"/>
      <c r="AH61" s="3"/>
      <c r="AI61" s="3"/>
      <c r="AJ61" s="3"/>
      <c r="AK61" s="3"/>
      <c r="AL61" s="3" t="s">
        <v>60</v>
      </c>
      <c r="AM61" s="3" t="str">
        <f t="shared" si="5"/>
        <v>Must Have</v>
      </c>
    </row>
    <row r="62" spans="1:39" ht="120" customHeight="1" x14ac:dyDescent="0.35">
      <c r="A62" s="4">
        <v>61</v>
      </c>
      <c r="B62" s="3" t="s">
        <v>39</v>
      </c>
      <c r="C62" s="3" t="s">
        <v>695</v>
      </c>
      <c r="D62" s="3" t="s">
        <v>112</v>
      </c>
      <c r="E62" s="3" t="s">
        <v>696</v>
      </c>
      <c r="F62" s="3" t="s">
        <v>114</v>
      </c>
      <c r="G62" s="3" t="s">
        <v>367</v>
      </c>
      <c r="H62" s="3" t="s">
        <v>696</v>
      </c>
      <c r="I62" s="4" t="s">
        <v>697</v>
      </c>
      <c r="J62" s="3" t="s">
        <v>698</v>
      </c>
      <c r="K62" s="3" t="s">
        <v>699</v>
      </c>
      <c r="L62" s="3" t="s">
        <v>700</v>
      </c>
      <c r="M62" s="3" t="s">
        <v>701</v>
      </c>
      <c r="N62" s="3" t="s">
        <v>702</v>
      </c>
      <c r="O62" s="3" t="s">
        <v>703</v>
      </c>
      <c r="P62" s="3" t="s">
        <v>206</v>
      </c>
      <c r="Q62" s="3" t="s">
        <v>153</v>
      </c>
      <c r="R62" s="3" t="s">
        <v>53</v>
      </c>
      <c r="S62" s="3" t="s">
        <v>207</v>
      </c>
      <c r="T62" s="3" t="s">
        <v>208</v>
      </c>
      <c r="U62" s="3" t="s">
        <v>704</v>
      </c>
      <c r="V62" s="3" t="s">
        <v>210</v>
      </c>
      <c r="W62" s="3" t="s">
        <v>58</v>
      </c>
      <c r="X62" s="3">
        <f t="shared" si="0"/>
        <v>3</v>
      </c>
      <c r="Y62" s="3" t="s">
        <v>53</v>
      </c>
      <c r="Z62" s="3" t="s">
        <v>53</v>
      </c>
      <c r="AA62" s="3" t="s">
        <v>53</v>
      </c>
      <c r="AB62" s="3" t="str">
        <f t="shared" si="1"/>
        <v>Effective</v>
      </c>
      <c r="AC62" s="3" t="str">
        <f t="shared" si="2"/>
        <v>Low</v>
      </c>
      <c r="AD62" s="3">
        <f t="shared" si="3"/>
        <v>3</v>
      </c>
      <c r="AE62" s="3">
        <f t="shared" si="4"/>
        <v>3</v>
      </c>
      <c r="AF62" s="3" t="s">
        <v>59</v>
      </c>
      <c r="AG62" s="3"/>
      <c r="AH62" s="3"/>
      <c r="AI62" s="3"/>
      <c r="AJ62" s="3"/>
      <c r="AK62" s="3"/>
      <c r="AL62" s="3" t="s">
        <v>60</v>
      </c>
      <c r="AM62" s="3" t="str">
        <f t="shared" si="5"/>
        <v>Must Have</v>
      </c>
    </row>
    <row r="63" spans="1:39" ht="120" customHeight="1" x14ac:dyDescent="0.35">
      <c r="A63" s="4">
        <v>62</v>
      </c>
      <c r="B63" s="3" t="s">
        <v>39</v>
      </c>
      <c r="C63" s="3" t="s">
        <v>695</v>
      </c>
      <c r="D63" s="3" t="s">
        <v>112</v>
      </c>
      <c r="E63" s="3" t="s">
        <v>696</v>
      </c>
      <c r="F63" s="3" t="s">
        <v>114</v>
      </c>
      <c r="G63" s="3" t="s">
        <v>367</v>
      </c>
      <c r="H63" s="3" t="s">
        <v>696</v>
      </c>
      <c r="I63" s="4" t="s">
        <v>705</v>
      </c>
      <c r="J63" s="3" t="s">
        <v>706</v>
      </c>
      <c r="K63" s="3" t="s">
        <v>707</v>
      </c>
      <c r="L63" s="3" t="s">
        <v>708</v>
      </c>
      <c r="M63" s="3" t="s">
        <v>709</v>
      </c>
      <c r="N63" s="3" t="s">
        <v>710</v>
      </c>
      <c r="O63" s="3" t="s">
        <v>711</v>
      </c>
      <c r="P63" s="3" t="s">
        <v>122</v>
      </c>
      <c r="Q63" s="3" t="s">
        <v>153</v>
      </c>
      <c r="R63" s="3" t="s">
        <v>53</v>
      </c>
      <c r="S63" s="3" t="s">
        <v>217</v>
      </c>
      <c r="T63" s="3" t="s">
        <v>712</v>
      </c>
      <c r="U63" s="3" t="s">
        <v>713</v>
      </c>
      <c r="V63" s="3" t="s">
        <v>714</v>
      </c>
      <c r="W63" s="3" t="s">
        <v>58</v>
      </c>
      <c r="X63" s="3">
        <f t="shared" si="0"/>
        <v>3</v>
      </c>
      <c r="Y63" s="3" t="s">
        <v>53</v>
      </c>
      <c r="Z63" s="3" t="s">
        <v>53</v>
      </c>
      <c r="AA63" s="3" t="s">
        <v>53</v>
      </c>
      <c r="AB63" s="3" t="str">
        <f t="shared" si="1"/>
        <v>Effective</v>
      </c>
      <c r="AC63" s="3" t="str">
        <f t="shared" si="2"/>
        <v>Low</v>
      </c>
      <c r="AD63" s="3">
        <f t="shared" si="3"/>
        <v>3</v>
      </c>
      <c r="AE63" s="3">
        <f t="shared" si="4"/>
        <v>3</v>
      </c>
      <c r="AF63" s="3" t="s">
        <v>59</v>
      </c>
      <c r="AG63" s="3"/>
      <c r="AH63" s="3"/>
      <c r="AI63" s="3"/>
      <c r="AJ63" s="3"/>
      <c r="AK63" s="3"/>
      <c r="AL63" s="3" t="s">
        <v>60</v>
      </c>
      <c r="AM63" s="3" t="str">
        <f t="shared" si="5"/>
        <v>Must Have</v>
      </c>
    </row>
    <row r="64" spans="1:39" ht="120" customHeight="1" x14ac:dyDescent="0.35">
      <c r="A64" s="4">
        <v>63</v>
      </c>
      <c r="B64" s="3" t="s">
        <v>39</v>
      </c>
      <c r="C64" s="3" t="s">
        <v>715</v>
      </c>
      <c r="D64" s="3" t="s">
        <v>551</v>
      </c>
      <c r="E64" s="3" t="s">
        <v>716</v>
      </c>
      <c r="F64" s="3" t="s">
        <v>114</v>
      </c>
      <c r="G64" s="3" t="s">
        <v>367</v>
      </c>
      <c r="H64" s="3" t="s">
        <v>716</v>
      </c>
      <c r="I64" s="4" t="s">
        <v>717</v>
      </c>
      <c r="J64" s="3" t="s">
        <v>718</v>
      </c>
      <c r="K64" s="3" t="s">
        <v>719</v>
      </c>
      <c r="L64" s="3" t="s">
        <v>720</v>
      </c>
      <c r="M64" s="3" t="s">
        <v>721</v>
      </c>
      <c r="N64" s="3" t="s">
        <v>722</v>
      </c>
      <c r="O64" s="3" t="s">
        <v>723</v>
      </c>
      <c r="P64" s="3" t="s">
        <v>122</v>
      </c>
      <c r="Q64" s="3" t="s">
        <v>153</v>
      </c>
      <c r="R64" s="3" t="s">
        <v>53</v>
      </c>
      <c r="S64" s="3" t="s">
        <v>724</v>
      </c>
      <c r="T64" s="3" t="s">
        <v>725</v>
      </c>
      <c r="U64" s="3" t="s">
        <v>726</v>
      </c>
      <c r="V64" s="3" t="s">
        <v>727</v>
      </c>
      <c r="W64" s="3" t="s">
        <v>58</v>
      </c>
      <c r="X64" s="3">
        <f t="shared" si="0"/>
        <v>3</v>
      </c>
      <c r="Y64" s="3" t="s">
        <v>53</v>
      </c>
      <c r="Z64" s="3" t="s">
        <v>53</v>
      </c>
      <c r="AA64" s="3" t="s">
        <v>53</v>
      </c>
      <c r="AB64" s="3" t="str">
        <f t="shared" si="1"/>
        <v>Effective</v>
      </c>
      <c r="AC64" s="3" t="str">
        <f t="shared" si="2"/>
        <v>Low</v>
      </c>
      <c r="AD64" s="3">
        <f t="shared" si="3"/>
        <v>3</v>
      </c>
      <c r="AE64" s="3">
        <f t="shared" si="4"/>
        <v>3</v>
      </c>
      <c r="AF64" s="3" t="s">
        <v>59</v>
      </c>
      <c r="AG64" s="3"/>
      <c r="AH64" s="3"/>
      <c r="AI64" s="3"/>
      <c r="AJ64" s="3"/>
      <c r="AK64" s="3"/>
      <c r="AL64" s="3" t="s">
        <v>60</v>
      </c>
      <c r="AM64" s="3" t="str">
        <f t="shared" si="5"/>
        <v>Must Have</v>
      </c>
    </row>
    <row r="65" spans="1:39" ht="120" customHeight="1" x14ac:dyDescent="0.35">
      <c r="A65" s="4">
        <v>64</v>
      </c>
      <c r="B65" s="3" t="s">
        <v>39</v>
      </c>
      <c r="C65" s="3" t="s">
        <v>728</v>
      </c>
      <c r="D65" s="3" t="s">
        <v>729</v>
      </c>
      <c r="E65" s="3" t="s">
        <v>730</v>
      </c>
      <c r="F65" s="3" t="s">
        <v>42</v>
      </c>
      <c r="G65" s="3" t="s">
        <v>367</v>
      </c>
      <c r="H65" s="3" t="s">
        <v>730</v>
      </c>
      <c r="I65" s="4" t="s">
        <v>731</v>
      </c>
      <c r="J65" s="3" t="s">
        <v>732</v>
      </c>
      <c r="K65" s="3" t="s">
        <v>733</v>
      </c>
      <c r="L65" s="3" t="s">
        <v>734</v>
      </c>
      <c r="M65" s="3" t="s">
        <v>735</v>
      </c>
      <c r="N65" s="3" t="s">
        <v>736</v>
      </c>
      <c r="O65" s="3" t="s">
        <v>737</v>
      </c>
      <c r="P65" s="3" t="s">
        <v>51</v>
      </c>
      <c r="Q65" s="3" t="s">
        <v>323</v>
      </c>
      <c r="R65" s="3" t="s">
        <v>53</v>
      </c>
      <c r="S65" s="3" t="s">
        <v>324</v>
      </c>
      <c r="T65" s="3" t="s">
        <v>325</v>
      </c>
      <c r="U65" s="3" t="s">
        <v>738</v>
      </c>
      <c r="V65" s="3" t="s">
        <v>739</v>
      </c>
      <c r="W65" s="3" t="s">
        <v>58</v>
      </c>
      <c r="X65" s="3">
        <f t="shared" si="0"/>
        <v>3</v>
      </c>
      <c r="Y65" s="3" t="s">
        <v>53</v>
      </c>
      <c r="Z65" s="3" t="s">
        <v>53</v>
      </c>
      <c r="AA65" s="3" t="s">
        <v>53</v>
      </c>
      <c r="AB65" s="3" t="str">
        <f t="shared" si="1"/>
        <v>Effective</v>
      </c>
      <c r="AC65" s="3" t="str">
        <f t="shared" si="2"/>
        <v>Low</v>
      </c>
      <c r="AD65" s="3">
        <f t="shared" si="3"/>
        <v>3</v>
      </c>
      <c r="AE65" s="3">
        <f t="shared" si="4"/>
        <v>3</v>
      </c>
      <c r="AF65" s="3" t="s">
        <v>59</v>
      </c>
      <c r="AG65" s="3"/>
      <c r="AH65" s="3"/>
      <c r="AI65" s="3"/>
      <c r="AJ65" s="3"/>
      <c r="AK65" s="3"/>
      <c r="AL65" s="3" t="s">
        <v>60</v>
      </c>
      <c r="AM65" s="3" t="str">
        <f t="shared" si="5"/>
        <v>Must Have</v>
      </c>
    </row>
    <row r="66" spans="1:39" ht="120" customHeight="1" x14ac:dyDescent="0.35">
      <c r="A66" s="4">
        <v>65</v>
      </c>
      <c r="B66" s="3" t="s">
        <v>39</v>
      </c>
      <c r="C66" s="3" t="s">
        <v>728</v>
      </c>
      <c r="D66" s="3" t="s">
        <v>729</v>
      </c>
      <c r="E66" s="3" t="s">
        <v>730</v>
      </c>
      <c r="F66" s="3" t="s">
        <v>114</v>
      </c>
      <c r="G66" s="3" t="s">
        <v>367</v>
      </c>
      <c r="H66" s="3" t="s">
        <v>730</v>
      </c>
      <c r="I66" s="4" t="s">
        <v>740</v>
      </c>
      <c r="J66" s="3" t="s">
        <v>741</v>
      </c>
      <c r="K66" s="3" t="s">
        <v>742</v>
      </c>
      <c r="L66" s="3" t="s">
        <v>743</v>
      </c>
      <c r="M66" s="3" t="s">
        <v>744</v>
      </c>
      <c r="N66" s="3" t="s">
        <v>745</v>
      </c>
      <c r="O66" s="3" t="s">
        <v>746</v>
      </c>
      <c r="P66" s="3" t="s">
        <v>122</v>
      </c>
      <c r="Q66" s="3" t="s">
        <v>323</v>
      </c>
      <c r="R66" s="3" t="s">
        <v>53</v>
      </c>
      <c r="S66" s="3" t="s">
        <v>747</v>
      </c>
      <c r="T66" s="3" t="s">
        <v>748</v>
      </c>
      <c r="U66" s="3" t="s">
        <v>749</v>
      </c>
      <c r="V66" s="3" t="s">
        <v>750</v>
      </c>
      <c r="W66" s="3" t="s">
        <v>58</v>
      </c>
      <c r="X66" s="3">
        <f t="shared" ref="X66:X129" si="6">IF(W66="","",IF(W66="Critical",4,IF(W66="High",3,IF(W66="Medium",2,IF(W66="Low",1,"")))))</f>
        <v>3</v>
      </c>
      <c r="Y66" s="3" t="s">
        <v>53</v>
      </c>
      <c r="Z66" s="3" t="s">
        <v>53</v>
      </c>
      <c r="AA66" s="3" t="s">
        <v>53</v>
      </c>
      <c r="AB66" s="3" t="str">
        <f t="shared" ref="AB66:AB129" si="7">IF(OR(Y66="",Z66=""),"",IF(AND(Y66="Y",Z66="Y"),"Effective",IF(AND(Y66="N",Z66="N"),"Ineffective","Partially Effective")))</f>
        <v>Effective</v>
      </c>
      <c r="AC66" s="3" t="str">
        <f t="shared" ref="AC66:AC129" si="8">IF(OR(W66="",AB66=""),"",IF(AB66="Effective",IF(W66="Critical","Medium","Low"),IF(AB66="Partially Effective",IF(W66="Critical","High",IF(W66="High","Medium",W66)),W66)))</f>
        <v>Low</v>
      </c>
      <c r="AD66" s="3">
        <f t="shared" ref="AD66:AD129" si="9">IF(OR(AA66="",AA66="NA",X66=""),"",IF(AA66="Y",X66,IF(AA66="P",X66*0.5,IF(AA66="N",0,""))))</f>
        <v>3</v>
      </c>
      <c r="AE66" s="3">
        <f t="shared" ref="AE66:AE129" si="10">IF(OR(AA66="",AA66="NA",X66=""),"",X66)</f>
        <v>3</v>
      </c>
      <c r="AF66" s="3" t="s">
        <v>59</v>
      </c>
      <c r="AG66" s="3"/>
      <c r="AH66" s="3"/>
      <c r="AI66" s="3"/>
      <c r="AJ66" s="3"/>
      <c r="AK66" s="3"/>
      <c r="AL66" s="3" t="s">
        <v>60</v>
      </c>
      <c r="AM66" s="3" t="str">
        <f t="shared" ref="AM66:AM129" si="11">IF(OR(W66="",R66=""),"",IF(AND(R66="Y",OR(W66="Critical",W66="High")),"Must Have","Should Have"))</f>
        <v>Must Have</v>
      </c>
    </row>
    <row r="67" spans="1:39" ht="120" customHeight="1" x14ac:dyDescent="0.35">
      <c r="A67" s="4">
        <v>66</v>
      </c>
      <c r="B67" s="3" t="s">
        <v>39</v>
      </c>
      <c r="C67" s="3" t="s">
        <v>751</v>
      </c>
      <c r="D67" s="3" t="s">
        <v>365</v>
      </c>
      <c r="E67" s="3" t="s">
        <v>752</v>
      </c>
      <c r="F67" s="3" t="s">
        <v>42</v>
      </c>
      <c r="G67" s="3" t="s">
        <v>367</v>
      </c>
      <c r="H67" s="3" t="s">
        <v>752</v>
      </c>
      <c r="I67" s="4" t="s">
        <v>753</v>
      </c>
      <c r="J67" s="3" t="s">
        <v>754</v>
      </c>
      <c r="K67" s="3" t="s">
        <v>755</v>
      </c>
      <c r="L67" s="3" t="s">
        <v>756</v>
      </c>
      <c r="M67" s="3" t="s">
        <v>757</v>
      </c>
      <c r="N67" s="3" t="s">
        <v>758</v>
      </c>
      <c r="O67" s="3" t="s">
        <v>759</v>
      </c>
      <c r="P67" s="3" t="s">
        <v>206</v>
      </c>
      <c r="Q67" s="3" t="s">
        <v>153</v>
      </c>
      <c r="R67" s="3" t="s">
        <v>53</v>
      </c>
      <c r="S67" s="3" t="s">
        <v>760</v>
      </c>
      <c r="T67" s="3" t="s">
        <v>108</v>
      </c>
      <c r="U67" s="3" t="s">
        <v>761</v>
      </c>
      <c r="V67" s="3" t="s">
        <v>762</v>
      </c>
      <c r="W67" s="3" t="s">
        <v>58</v>
      </c>
      <c r="X67" s="3">
        <f t="shared" si="6"/>
        <v>3</v>
      </c>
      <c r="Y67" s="3" t="s">
        <v>53</v>
      </c>
      <c r="Z67" s="3" t="s">
        <v>53</v>
      </c>
      <c r="AA67" s="3" t="s">
        <v>53</v>
      </c>
      <c r="AB67" s="3" t="str">
        <f t="shared" si="7"/>
        <v>Effective</v>
      </c>
      <c r="AC67" s="3" t="str">
        <f t="shared" si="8"/>
        <v>Low</v>
      </c>
      <c r="AD67" s="3">
        <f t="shared" si="9"/>
        <v>3</v>
      </c>
      <c r="AE67" s="3">
        <f t="shared" si="10"/>
        <v>3</v>
      </c>
      <c r="AF67" s="3" t="s">
        <v>59</v>
      </c>
      <c r="AG67" s="3"/>
      <c r="AH67" s="3"/>
      <c r="AI67" s="3"/>
      <c r="AJ67" s="3"/>
      <c r="AK67" s="3"/>
      <c r="AL67" s="3" t="s">
        <v>60</v>
      </c>
      <c r="AM67" s="3" t="str">
        <f t="shared" si="11"/>
        <v>Must Have</v>
      </c>
    </row>
    <row r="68" spans="1:39" ht="120" customHeight="1" x14ac:dyDescent="0.35">
      <c r="A68" s="4">
        <v>67</v>
      </c>
      <c r="B68" s="3" t="s">
        <v>39</v>
      </c>
      <c r="C68" s="3" t="s">
        <v>763</v>
      </c>
      <c r="D68" s="3" t="s">
        <v>352</v>
      </c>
      <c r="E68" s="3" t="s">
        <v>764</v>
      </c>
      <c r="F68" s="3" t="s">
        <v>114</v>
      </c>
      <c r="G68" s="3" t="s">
        <v>367</v>
      </c>
      <c r="H68" s="3" t="s">
        <v>764</v>
      </c>
      <c r="I68" s="4" t="s">
        <v>765</v>
      </c>
      <c r="J68" s="3" t="s">
        <v>766</v>
      </c>
      <c r="K68" s="3" t="s">
        <v>767</v>
      </c>
      <c r="L68" s="3" t="s">
        <v>768</v>
      </c>
      <c r="M68" s="3" t="s">
        <v>769</v>
      </c>
      <c r="N68" s="3" t="s">
        <v>770</v>
      </c>
      <c r="O68" s="3" t="s">
        <v>771</v>
      </c>
      <c r="P68" s="3" t="s">
        <v>122</v>
      </c>
      <c r="Q68" s="3" t="s">
        <v>153</v>
      </c>
      <c r="R68" s="3" t="s">
        <v>154</v>
      </c>
      <c r="S68" s="3" t="s">
        <v>484</v>
      </c>
      <c r="T68" s="3" t="s">
        <v>772</v>
      </c>
      <c r="U68" s="3" t="s">
        <v>773</v>
      </c>
      <c r="V68" s="3" t="s">
        <v>774</v>
      </c>
      <c r="W68" s="3" t="s">
        <v>159</v>
      </c>
      <c r="X68" s="3">
        <f t="shared" si="6"/>
        <v>2</v>
      </c>
      <c r="Y68" s="3" t="s">
        <v>53</v>
      </c>
      <c r="Z68" s="3" t="s">
        <v>53</v>
      </c>
      <c r="AA68" s="3" t="s">
        <v>53</v>
      </c>
      <c r="AB68" s="3" t="str">
        <f t="shared" si="7"/>
        <v>Effective</v>
      </c>
      <c r="AC68" s="3" t="str">
        <f t="shared" si="8"/>
        <v>Low</v>
      </c>
      <c r="AD68" s="3">
        <f t="shared" si="9"/>
        <v>2</v>
      </c>
      <c r="AE68" s="3">
        <f t="shared" si="10"/>
        <v>2</v>
      </c>
      <c r="AF68" s="3" t="s">
        <v>59</v>
      </c>
      <c r="AG68" s="3"/>
      <c r="AH68" s="3"/>
      <c r="AI68" s="3"/>
      <c r="AJ68" s="3"/>
      <c r="AK68" s="3"/>
      <c r="AL68" s="3" t="s">
        <v>60</v>
      </c>
      <c r="AM68" s="3" t="str">
        <f t="shared" si="11"/>
        <v>Should Have</v>
      </c>
    </row>
    <row r="69" spans="1:39" ht="120" customHeight="1" x14ac:dyDescent="0.35">
      <c r="A69" s="4">
        <v>68</v>
      </c>
      <c r="B69" s="3" t="s">
        <v>39</v>
      </c>
      <c r="C69" s="3" t="s">
        <v>775</v>
      </c>
      <c r="D69" s="3" t="s">
        <v>729</v>
      </c>
      <c r="E69" s="3" t="s">
        <v>776</v>
      </c>
      <c r="F69" s="3" t="s">
        <v>114</v>
      </c>
      <c r="G69" s="3" t="s">
        <v>367</v>
      </c>
      <c r="H69" s="3" t="s">
        <v>776</v>
      </c>
      <c r="I69" s="4" t="s">
        <v>777</v>
      </c>
      <c r="J69" s="3" t="s">
        <v>778</v>
      </c>
      <c r="K69" s="3" t="s">
        <v>779</v>
      </c>
      <c r="L69" s="3" t="s">
        <v>780</v>
      </c>
      <c r="M69" s="3" t="s">
        <v>781</v>
      </c>
      <c r="N69" s="3" t="s">
        <v>782</v>
      </c>
      <c r="O69" s="3" t="s">
        <v>783</v>
      </c>
      <c r="P69" s="3" t="s">
        <v>51</v>
      </c>
      <c r="Q69" s="3" t="s">
        <v>323</v>
      </c>
      <c r="R69" s="3" t="s">
        <v>53</v>
      </c>
      <c r="S69" s="3" t="s">
        <v>324</v>
      </c>
      <c r="T69" s="3" t="s">
        <v>784</v>
      </c>
      <c r="U69" s="3" t="s">
        <v>785</v>
      </c>
      <c r="V69" s="3" t="s">
        <v>786</v>
      </c>
      <c r="W69" s="3" t="s">
        <v>58</v>
      </c>
      <c r="X69" s="3">
        <f t="shared" si="6"/>
        <v>3</v>
      </c>
      <c r="Y69" s="3" t="s">
        <v>53</v>
      </c>
      <c r="Z69" s="3" t="s">
        <v>53</v>
      </c>
      <c r="AA69" s="3" t="s">
        <v>53</v>
      </c>
      <c r="AB69" s="3" t="str">
        <f t="shared" si="7"/>
        <v>Effective</v>
      </c>
      <c r="AC69" s="3" t="str">
        <f t="shared" si="8"/>
        <v>Low</v>
      </c>
      <c r="AD69" s="3">
        <f t="shared" si="9"/>
        <v>3</v>
      </c>
      <c r="AE69" s="3">
        <f t="shared" si="10"/>
        <v>3</v>
      </c>
      <c r="AF69" s="3" t="s">
        <v>59</v>
      </c>
      <c r="AG69" s="3"/>
      <c r="AH69" s="3"/>
      <c r="AI69" s="3"/>
      <c r="AJ69" s="3"/>
      <c r="AK69" s="3"/>
      <c r="AL69" s="3" t="s">
        <v>60</v>
      </c>
      <c r="AM69" s="3" t="str">
        <f t="shared" si="11"/>
        <v>Must Have</v>
      </c>
    </row>
    <row r="70" spans="1:39" ht="132" customHeight="1" x14ac:dyDescent="0.35">
      <c r="A70" s="4">
        <v>69</v>
      </c>
      <c r="B70" s="3" t="s">
        <v>39</v>
      </c>
      <c r="C70" s="3" t="s">
        <v>787</v>
      </c>
      <c r="D70" s="3" t="s">
        <v>365</v>
      </c>
      <c r="E70" s="3" t="s">
        <v>788</v>
      </c>
      <c r="F70" s="3" t="s">
        <v>42</v>
      </c>
      <c r="G70" s="3" t="s">
        <v>367</v>
      </c>
      <c r="H70" s="3" t="s">
        <v>788</v>
      </c>
      <c r="I70" s="4" t="s">
        <v>789</v>
      </c>
      <c r="J70" s="3" t="s">
        <v>790</v>
      </c>
      <c r="K70" s="3" t="s">
        <v>791</v>
      </c>
      <c r="L70" s="3" t="s">
        <v>792</v>
      </c>
      <c r="M70" s="3" t="s">
        <v>793</v>
      </c>
      <c r="N70" s="3" t="s">
        <v>794</v>
      </c>
      <c r="O70" s="3" t="s">
        <v>795</v>
      </c>
      <c r="P70" s="3" t="s">
        <v>51</v>
      </c>
      <c r="Q70" s="3" t="s">
        <v>52</v>
      </c>
      <c r="R70" s="3" t="s">
        <v>53</v>
      </c>
      <c r="S70" s="3" t="s">
        <v>796</v>
      </c>
      <c r="T70" s="3" t="s">
        <v>797</v>
      </c>
      <c r="U70" s="3" t="s">
        <v>798</v>
      </c>
      <c r="V70" s="3" t="s">
        <v>799</v>
      </c>
      <c r="W70" s="3" t="s">
        <v>58</v>
      </c>
      <c r="X70" s="3">
        <f t="shared" si="6"/>
        <v>3</v>
      </c>
      <c r="Y70" s="3" t="s">
        <v>53</v>
      </c>
      <c r="Z70" s="3" t="s">
        <v>53</v>
      </c>
      <c r="AA70" s="3" t="s">
        <v>53</v>
      </c>
      <c r="AB70" s="3" t="str">
        <f t="shared" si="7"/>
        <v>Effective</v>
      </c>
      <c r="AC70" s="3" t="str">
        <f t="shared" si="8"/>
        <v>Low</v>
      </c>
      <c r="AD70" s="3">
        <f t="shared" si="9"/>
        <v>3</v>
      </c>
      <c r="AE70" s="3">
        <f t="shared" si="10"/>
        <v>3</v>
      </c>
      <c r="AF70" s="3" t="s">
        <v>59</v>
      </c>
      <c r="AG70" s="3"/>
      <c r="AH70" s="3"/>
      <c r="AI70" s="3"/>
      <c r="AJ70" s="3"/>
      <c r="AK70" s="3"/>
      <c r="AL70" s="3" t="s">
        <v>60</v>
      </c>
      <c r="AM70" s="3" t="str">
        <f t="shared" si="11"/>
        <v>Must Have</v>
      </c>
    </row>
    <row r="71" spans="1:39" ht="120" customHeight="1" x14ac:dyDescent="0.35">
      <c r="A71" s="4">
        <v>70</v>
      </c>
      <c r="B71" s="3" t="s">
        <v>39</v>
      </c>
      <c r="C71" s="3" t="s">
        <v>787</v>
      </c>
      <c r="D71" s="3" t="s">
        <v>365</v>
      </c>
      <c r="E71" s="3" t="s">
        <v>788</v>
      </c>
      <c r="F71" s="3" t="s">
        <v>114</v>
      </c>
      <c r="G71" s="3" t="s">
        <v>367</v>
      </c>
      <c r="H71" s="3" t="s">
        <v>788</v>
      </c>
      <c r="I71" s="4" t="s">
        <v>800</v>
      </c>
      <c r="J71" s="3" t="s">
        <v>801</v>
      </c>
      <c r="K71" s="3" t="s">
        <v>802</v>
      </c>
      <c r="L71" s="3" t="s">
        <v>803</v>
      </c>
      <c r="M71" s="3" t="s">
        <v>804</v>
      </c>
      <c r="N71" s="3" t="s">
        <v>805</v>
      </c>
      <c r="O71" s="3" t="s">
        <v>806</v>
      </c>
      <c r="P71" s="3" t="s">
        <v>51</v>
      </c>
      <c r="Q71" s="3" t="s">
        <v>52</v>
      </c>
      <c r="R71" s="3" t="s">
        <v>53</v>
      </c>
      <c r="S71" s="3" t="s">
        <v>807</v>
      </c>
      <c r="T71" s="3" t="s">
        <v>808</v>
      </c>
      <c r="U71" s="3" t="s">
        <v>809</v>
      </c>
      <c r="V71" s="3" t="s">
        <v>810</v>
      </c>
      <c r="W71" s="3" t="s">
        <v>58</v>
      </c>
      <c r="X71" s="3">
        <f t="shared" si="6"/>
        <v>3</v>
      </c>
      <c r="Y71" s="3" t="s">
        <v>53</v>
      </c>
      <c r="Z71" s="3" t="s">
        <v>53</v>
      </c>
      <c r="AA71" s="3" t="s">
        <v>53</v>
      </c>
      <c r="AB71" s="3" t="str">
        <f t="shared" si="7"/>
        <v>Effective</v>
      </c>
      <c r="AC71" s="3" t="str">
        <f t="shared" si="8"/>
        <v>Low</v>
      </c>
      <c r="AD71" s="3">
        <f t="shared" si="9"/>
        <v>3</v>
      </c>
      <c r="AE71" s="3">
        <f t="shared" si="10"/>
        <v>3</v>
      </c>
      <c r="AF71" s="3" t="s">
        <v>59</v>
      </c>
      <c r="AG71" s="3"/>
      <c r="AH71" s="3"/>
      <c r="AI71" s="3"/>
      <c r="AJ71" s="3"/>
      <c r="AK71" s="3"/>
      <c r="AL71" s="3" t="s">
        <v>60</v>
      </c>
      <c r="AM71" s="3" t="str">
        <f t="shared" si="11"/>
        <v>Must Have</v>
      </c>
    </row>
    <row r="72" spans="1:39" ht="120" customHeight="1" x14ac:dyDescent="0.35">
      <c r="A72" s="4">
        <v>71</v>
      </c>
      <c r="B72" s="3" t="s">
        <v>39</v>
      </c>
      <c r="C72" s="3" t="s">
        <v>811</v>
      </c>
      <c r="D72" s="3" t="s">
        <v>615</v>
      </c>
      <c r="E72" s="3" t="s">
        <v>812</v>
      </c>
      <c r="F72" s="3" t="s">
        <v>114</v>
      </c>
      <c r="G72" s="3" t="s">
        <v>367</v>
      </c>
      <c r="H72" s="3" t="s">
        <v>812</v>
      </c>
      <c r="I72" s="4" t="s">
        <v>813</v>
      </c>
      <c r="J72" s="3" t="s">
        <v>814</v>
      </c>
      <c r="K72" s="3" t="s">
        <v>815</v>
      </c>
      <c r="L72" s="3" t="s">
        <v>816</v>
      </c>
      <c r="M72" s="3" t="s">
        <v>817</v>
      </c>
      <c r="N72" s="3" t="s">
        <v>818</v>
      </c>
      <c r="O72" s="3" t="s">
        <v>819</v>
      </c>
      <c r="P72" s="3" t="s">
        <v>51</v>
      </c>
      <c r="Q72" s="3" t="s">
        <v>52</v>
      </c>
      <c r="R72" s="3" t="s">
        <v>154</v>
      </c>
      <c r="S72" s="3" t="s">
        <v>820</v>
      </c>
      <c r="T72" s="3" t="s">
        <v>108</v>
      </c>
      <c r="U72" s="3" t="s">
        <v>821</v>
      </c>
      <c r="V72" s="3" t="s">
        <v>822</v>
      </c>
      <c r="W72" s="3" t="s">
        <v>159</v>
      </c>
      <c r="X72" s="3">
        <f t="shared" si="6"/>
        <v>2</v>
      </c>
      <c r="Y72" s="3" t="s">
        <v>53</v>
      </c>
      <c r="Z72" s="3" t="s">
        <v>53</v>
      </c>
      <c r="AA72" s="3" t="s">
        <v>53</v>
      </c>
      <c r="AB72" s="3" t="str">
        <f t="shared" si="7"/>
        <v>Effective</v>
      </c>
      <c r="AC72" s="3" t="str">
        <f t="shared" si="8"/>
        <v>Low</v>
      </c>
      <c r="AD72" s="3">
        <f t="shared" si="9"/>
        <v>2</v>
      </c>
      <c r="AE72" s="3">
        <f t="shared" si="10"/>
        <v>2</v>
      </c>
      <c r="AF72" s="3" t="s">
        <v>59</v>
      </c>
      <c r="AG72" s="3"/>
      <c r="AH72" s="3"/>
      <c r="AI72" s="3"/>
      <c r="AJ72" s="3"/>
      <c r="AK72" s="3"/>
      <c r="AL72" s="3" t="s">
        <v>60</v>
      </c>
      <c r="AM72" s="3" t="str">
        <f t="shared" si="11"/>
        <v>Should Have</v>
      </c>
    </row>
    <row r="73" spans="1:39" ht="120" customHeight="1" x14ac:dyDescent="0.35">
      <c r="A73" s="4">
        <v>72</v>
      </c>
      <c r="B73" s="3" t="s">
        <v>39</v>
      </c>
      <c r="C73" s="3" t="s">
        <v>823</v>
      </c>
      <c r="D73" s="3" t="s">
        <v>365</v>
      </c>
      <c r="E73" s="3" t="s">
        <v>824</v>
      </c>
      <c r="F73" s="3" t="s">
        <v>42</v>
      </c>
      <c r="G73" s="3" t="s">
        <v>367</v>
      </c>
      <c r="H73" s="3" t="s">
        <v>824</v>
      </c>
      <c r="I73" s="4" t="s">
        <v>825</v>
      </c>
      <c r="J73" s="3" t="s">
        <v>826</v>
      </c>
      <c r="K73" s="3" t="s">
        <v>827</v>
      </c>
      <c r="L73" s="3" t="s">
        <v>828</v>
      </c>
      <c r="M73" s="3" t="s">
        <v>829</v>
      </c>
      <c r="N73" s="3" t="s">
        <v>830</v>
      </c>
      <c r="O73" s="3" t="s">
        <v>831</v>
      </c>
      <c r="P73" s="3" t="s">
        <v>51</v>
      </c>
      <c r="Q73" s="3" t="s">
        <v>153</v>
      </c>
      <c r="R73" s="3" t="s">
        <v>154</v>
      </c>
      <c r="S73" s="3" t="s">
        <v>313</v>
      </c>
      <c r="T73" s="3" t="s">
        <v>832</v>
      </c>
      <c r="U73" s="3" t="s">
        <v>833</v>
      </c>
      <c r="V73" s="3" t="s">
        <v>834</v>
      </c>
      <c r="W73" s="3" t="s">
        <v>159</v>
      </c>
      <c r="X73" s="3">
        <f t="shared" si="6"/>
        <v>2</v>
      </c>
      <c r="Y73" s="3" t="s">
        <v>53</v>
      </c>
      <c r="Z73" s="3" t="s">
        <v>53</v>
      </c>
      <c r="AA73" s="3" t="s">
        <v>53</v>
      </c>
      <c r="AB73" s="3" t="str">
        <f t="shared" si="7"/>
        <v>Effective</v>
      </c>
      <c r="AC73" s="3" t="str">
        <f t="shared" si="8"/>
        <v>Low</v>
      </c>
      <c r="AD73" s="3">
        <f t="shared" si="9"/>
        <v>2</v>
      </c>
      <c r="AE73" s="3">
        <f t="shared" si="10"/>
        <v>2</v>
      </c>
      <c r="AF73" s="3" t="s">
        <v>59</v>
      </c>
      <c r="AG73" s="3"/>
      <c r="AH73" s="3"/>
      <c r="AI73" s="3"/>
      <c r="AJ73" s="3"/>
      <c r="AK73" s="3"/>
      <c r="AL73" s="3" t="s">
        <v>60</v>
      </c>
      <c r="AM73" s="3" t="str">
        <f t="shared" si="11"/>
        <v>Should Have</v>
      </c>
    </row>
    <row r="74" spans="1:39" ht="120" customHeight="1" x14ac:dyDescent="0.35">
      <c r="A74" s="4">
        <v>73</v>
      </c>
      <c r="B74" s="3" t="s">
        <v>39</v>
      </c>
      <c r="C74" s="3" t="s">
        <v>835</v>
      </c>
      <c r="D74" s="3" t="s">
        <v>41</v>
      </c>
      <c r="E74" s="3" t="s">
        <v>836</v>
      </c>
      <c r="F74" s="3" t="s">
        <v>42</v>
      </c>
      <c r="G74" s="3" t="s">
        <v>367</v>
      </c>
      <c r="H74" s="3" t="s">
        <v>836</v>
      </c>
      <c r="I74" s="4" t="s">
        <v>837</v>
      </c>
      <c r="J74" s="3" t="s">
        <v>838</v>
      </c>
      <c r="K74" s="3" t="s">
        <v>839</v>
      </c>
      <c r="L74" s="3" t="s">
        <v>840</v>
      </c>
      <c r="M74" s="3" t="s">
        <v>841</v>
      </c>
      <c r="N74" s="3" t="s">
        <v>842</v>
      </c>
      <c r="O74" s="3" t="s">
        <v>843</v>
      </c>
      <c r="P74" s="3" t="s">
        <v>51</v>
      </c>
      <c r="Q74" s="3" t="s">
        <v>52</v>
      </c>
      <c r="R74" s="3" t="s">
        <v>53</v>
      </c>
      <c r="S74" s="3" t="s">
        <v>107</v>
      </c>
      <c r="T74" s="3" t="s">
        <v>55</v>
      </c>
      <c r="U74" s="3" t="s">
        <v>844</v>
      </c>
      <c r="V74" s="3" t="s">
        <v>845</v>
      </c>
      <c r="W74" s="3" t="s">
        <v>58</v>
      </c>
      <c r="X74" s="3">
        <f t="shared" si="6"/>
        <v>3</v>
      </c>
      <c r="Y74" s="3" t="s">
        <v>53</v>
      </c>
      <c r="Z74" s="3" t="s">
        <v>53</v>
      </c>
      <c r="AA74" s="3" t="s">
        <v>53</v>
      </c>
      <c r="AB74" s="3" t="str">
        <f t="shared" si="7"/>
        <v>Effective</v>
      </c>
      <c r="AC74" s="3" t="str">
        <f t="shared" si="8"/>
        <v>Low</v>
      </c>
      <c r="AD74" s="3">
        <f t="shared" si="9"/>
        <v>3</v>
      </c>
      <c r="AE74" s="3">
        <f t="shared" si="10"/>
        <v>3</v>
      </c>
      <c r="AF74" s="3" t="s">
        <v>59</v>
      </c>
      <c r="AG74" s="3"/>
      <c r="AH74" s="3"/>
      <c r="AI74" s="3"/>
      <c r="AJ74" s="3"/>
      <c r="AK74" s="3"/>
      <c r="AL74" s="3" t="s">
        <v>60</v>
      </c>
      <c r="AM74" s="3" t="str">
        <f t="shared" si="11"/>
        <v>Must Have</v>
      </c>
    </row>
    <row r="75" spans="1:39" ht="120" customHeight="1" x14ac:dyDescent="0.35">
      <c r="A75" s="4">
        <v>74</v>
      </c>
      <c r="B75" s="3" t="s">
        <v>39</v>
      </c>
      <c r="C75" s="3" t="s">
        <v>846</v>
      </c>
      <c r="D75" s="3" t="s">
        <v>112</v>
      </c>
      <c r="E75" s="3" t="s">
        <v>847</v>
      </c>
      <c r="F75" s="3" t="s">
        <v>114</v>
      </c>
      <c r="G75" s="3" t="s">
        <v>367</v>
      </c>
      <c r="H75" s="3" t="s">
        <v>847</v>
      </c>
      <c r="I75" s="4" t="s">
        <v>848</v>
      </c>
      <c r="J75" s="3" t="s">
        <v>849</v>
      </c>
      <c r="K75" s="3" t="s">
        <v>850</v>
      </c>
      <c r="L75" s="3" t="s">
        <v>851</v>
      </c>
      <c r="M75" s="3" t="s">
        <v>852</v>
      </c>
      <c r="N75" s="3" t="s">
        <v>853</v>
      </c>
      <c r="O75" s="3" t="s">
        <v>854</v>
      </c>
      <c r="P75" s="3" t="s">
        <v>206</v>
      </c>
      <c r="Q75" s="3" t="s">
        <v>153</v>
      </c>
      <c r="R75" s="3" t="s">
        <v>53</v>
      </c>
      <c r="S75" s="3" t="s">
        <v>399</v>
      </c>
      <c r="T75" s="3" t="s">
        <v>855</v>
      </c>
      <c r="U75" s="3" t="s">
        <v>856</v>
      </c>
      <c r="V75" s="3" t="s">
        <v>857</v>
      </c>
      <c r="W75" s="3" t="s">
        <v>58</v>
      </c>
      <c r="X75" s="3">
        <f t="shared" si="6"/>
        <v>3</v>
      </c>
      <c r="Y75" s="3" t="s">
        <v>53</v>
      </c>
      <c r="Z75" s="3" t="s">
        <v>53</v>
      </c>
      <c r="AA75" s="3" t="s">
        <v>53</v>
      </c>
      <c r="AB75" s="3" t="str">
        <f t="shared" si="7"/>
        <v>Effective</v>
      </c>
      <c r="AC75" s="3" t="str">
        <f t="shared" si="8"/>
        <v>Low</v>
      </c>
      <c r="AD75" s="3">
        <f t="shared" si="9"/>
        <v>3</v>
      </c>
      <c r="AE75" s="3">
        <f t="shared" si="10"/>
        <v>3</v>
      </c>
      <c r="AF75" s="3" t="s">
        <v>59</v>
      </c>
      <c r="AG75" s="3"/>
      <c r="AH75" s="3"/>
      <c r="AI75" s="3"/>
      <c r="AJ75" s="3"/>
      <c r="AK75" s="3"/>
      <c r="AL75" s="3" t="s">
        <v>60</v>
      </c>
      <c r="AM75" s="3" t="str">
        <f t="shared" si="11"/>
        <v>Must Have</v>
      </c>
    </row>
    <row r="76" spans="1:39" ht="120" customHeight="1" x14ac:dyDescent="0.35">
      <c r="A76" s="4">
        <v>75</v>
      </c>
      <c r="B76" s="3" t="s">
        <v>39</v>
      </c>
      <c r="C76" s="3" t="s">
        <v>846</v>
      </c>
      <c r="D76" s="3" t="s">
        <v>112</v>
      </c>
      <c r="E76" s="3" t="s">
        <v>847</v>
      </c>
      <c r="F76" s="3" t="s">
        <v>114</v>
      </c>
      <c r="G76" s="3" t="s">
        <v>367</v>
      </c>
      <c r="H76" s="3" t="s">
        <v>847</v>
      </c>
      <c r="I76" s="4" t="s">
        <v>858</v>
      </c>
      <c r="J76" s="3" t="s">
        <v>859</v>
      </c>
      <c r="K76" s="3" t="s">
        <v>860</v>
      </c>
      <c r="L76" s="3" t="s">
        <v>861</v>
      </c>
      <c r="M76" s="3" t="s">
        <v>862</v>
      </c>
      <c r="N76" s="3" t="s">
        <v>863</v>
      </c>
      <c r="O76" s="3" t="s">
        <v>864</v>
      </c>
      <c r="P76" s="3" t="s">
        <v>206</v>
      </c>
      <c r="Q76" s="3" t="s">
        <v>153</v>
      </c>
      <c r="R76" s="3" t="s">
        <v>53</v>
      </c>
      <c r="S76" s="3" t="s">
        <v>177</v>
      </c>
      <c r="T76" s="3" t="s">
        <v>865</v>
      </c>
      <c r="U76" s="3" t="s">
        <v>866</v>
      </c>
      <c r="V76" s="3" t="s">
        <v>867</v>
      </c>
      <c r="W76" s="3" t="s">
        <v>58</v>
      </c>
      <c r="X76" s="3">
        <f t="shared" si="6"/>
        <v>3</v>
      </c>
      <c r="Y76" s="3" t="s">
        <v>53</v>
      </c>
      <c r="Z76" s="3" t="s">
        <v>53</v>
      </c>
      <c r="AA76" s="3" t="s">
        <v>53</v>
      </c>
      <c r="AB76" s="3" t="str">
        <f t="shared" si="7"/>
        <v>Effective</v>
      </c>
      <c r="AC76" s="3" t="str">
        <f t="shared" si="8"/>
        <v>Low</v>
      </c>
      <c r="AD76" s="3">
        <f t="shared" si="9"/>
        <v>3</v>
      </c>
      <c r="AE76" s="3">
        <f t="shared" si="10"/>
        <v>3</v>
      </c>
      <c r="AF76" s="3" t="s">
        <v>59</v>
      </c>
      <c r="AG76" s="3"/>
      <c r="AH76" s="3"/>
      <c r="AI76" s="3"/>
      <c r="AJ76" s="3"/>
      <c r="AK76" s="3"/>
      <c r="AL76" s="3" t="s">
        <v>60</v>
      </c>
      <c r="AM76" s="3" t="str">
        <f t="shared" si="11"/>
        <v>Must Have</v>
      </c>
    </row>
    <row r="77" spans="1:39" ht="120" customHeight="1" x14ac:dyDescent="0.35">
      <c r="A77" s="4">
        <v>76</v>
      </c>
      <c r="B77" s="3" t="s">
        <v>39</v>
      </c>
      <c r="C77" s="3" t="s">
        <v>846</v>
      </c>
      <c r="D77" s="3" t="s">
        <v>112</v>
      </c>
      <c r="E77" s="3" t="s">
        <v>847</v>
      </c>
      <c r="F77" s="3" t="s">
        <v>527</v>
      </c>
      <c r="G77" s="3" t="s">
        <v>367</v>
      </c>
      <c r="H77" s="3" t="s">
        <v>847</v>
      </c>
      <c r="I77" s="4" t="s">
        <v>868</v>
      </c>
      <c r="J77" s="3" t="s">
        <v>869</v>
      </c>
      <c r="K77" s="3" t="s">
        <v>870</v>
      </c>
      <c r="L77" s="3" t="s">
        <v>871</v>
      </c>
      <c r="M77" s="3" t="s">
        <v>872</v>
      </c>
      <c r="N77" s="3" t="s">
        <v>873</v>
      </c>
      <c r="O77" s="3" t="s">
        <v>874</v>
      </c>
      <c r="P77" s="3" t="s">
        <v>51</v>
      </c>
      <c r="Q77" s="3" t="s">
        <v>52</v>
      </c>
      <c r="R77" s="3" t="s">
        <v>53</v>
      </c>
      <c r="S77" s="3" t="s">
        <v>796</v>
      </c>
      <c r="T77" s="3" t="s">
        <v>875</v>
      </c>
      <c r="U77" s="3" t="s">
        <v>876</v>
      </c>
      <c r="V77" s="3" t="s">
        <v>877</v>
      </c>
      <c r="W77" s="3" t="s">
        <v>58</v>
      </c>
      <c r="X77" s="3">
        <f t="shared" si="6"/>
        <v>3</v>
      </c>
      <c r="Y77" s="3" t="s">
        <v>53</v>
      </c>
      <c r="Z77" s="3" t="s">
        <v>53</v>
      </c>
      <c r="AA77" s="3" t="s">
        <v>53</v>
      </c>
      <c r="AB77" s="3" t="str">
        <f t="shared" si="7"/>
        <v>Effective</v>
      </c>
      <c r="AC77" s="3" t="str">
        <f t="shared" si="8"/>
        <v>Low</v>
      </c>
      <c r="AD77" s="3">
        <f t="shared" si="9"/>
        <v>3</v>
      </c>
      <c r="AE77" s="3">
        <f t="shared" si="10"/>
        <v>3</v>
      </c>
      <c r="AF77" s="3" t="s">
        <v>59</v>
      </c>
      <c r="AG77" s="3"/>
      <c r="AH77" s="3"/>
      <c r="AI77" s="3"/>
      <c r="AJ77" s="3"/>
      <c r="AK77" s="3"/>
      <c r="AL77" s="3" t="s">
        <v>60</v>
      </c>
      <c r="AM77" s="3" t="str">
        <f t="shared" si="11"/>
        <v>Must Have</v>
      </c>
    </row>
    <row r="78" spans="1:39" ht="120" customHeight="1" x14ac:dyDescent="0.35">
      <c r="A78" s="4">
        <v>77</v>
      </c>
      <c r="B78" s="3" t="s">
        <v>39</v>
      </c>
      <c r="C78" s="3" t="s">
        <v>878</v>
      </c>
      <c r="D78" s="3" t="s">
        <v>41</v>
      </c>
      <c r="E78" s="3" t="s">
        <v>879</v>
      </c>
      <c r="F78" s="3" t="s">
        <v>42</v>
      </c>
      <c r="G78" s="3" t="s">
        <v>880</v>
      </c>
      <c r="H78" s="3" t="s">
        <v>879</v>
      </c>
      <c r="I78" s="4" t="s">
        <v>881</v>
      </c>
      <c r="J78" s="3" t="s">
        <v>882</v>
      </c>
      <c r="K78" s="3" t="s">
        <v>883</v>
      </c>
      <c r="L78" s="3" t="s">
        <v>884</v>
      </c>
      <c r="M78" s="3" t="s">
        <v>885</v>
      </c>
      <c r="N78" s="3" t="s">
        <v>886</v>
      </c>
      <c r="O78" s="3" t="s">
        <v>887</v>
      </c>
      <c r="P78" s="3" t="s">
        <v>51</v>
      </c>
      <c r="Q78" s="3" t="s">
        <v>52</v>
      </c>
      <c r="R78" s="3" t="s">
        <v>53</v>
      </c>
      <c r="S78" s="3" t="s">
        <v>888</v>
      </c>
      <c r="T78" s="3" t="s">
        <v>68</v>
      </c>
      <c r="U78" s="3" t="s">
        <v>889</v>
      </c>
      <c r="V78" s="3" t="s">
        <v>890</v>
      </c>
      <c r="W78" s="3" t="s">
        <v>58</v>
      </c>
      <c r="X78" s="3">
        <f t="shared" si="6"/>
        <v>3</v>
      </c>
      <c r="Y78" s="3" t="s">
        <v>53</v>
      </c>
      <c r="Z78" s="3" t="s">
        <v>53</v>
      </c>
      <c r="AA78" s="3" t="s">
        <v>53</v>
      </c>
      <c r="AB78" s="3" t="str">
        <f t="shared" si="7"/>
        <v>Effective</v>
      </c>
      <c r="AC78" s="3" t="str">
        <f t="shared" si="8"/>
        <v>Low</v>
      </c>
      <c r="AD78" s="3">
        <f t="shared" si="9"/>
        <v>3</v>
      </c>
      <c r="AE78" s="3">
        <f t="shared" si="10"/>
        <v>3</v>
      </c>
      <c r="AF78" s="3" t="s">
        <v>59</v>
      </c>
      <c r="AG78" s="3"/>
      <c r="AH78" s="3"/>
      <c r="AI78" s="3"/>
      <c r="AJ78" s="3"/>
      <c r="AK78" s="3"/>
      <c r="AL78" s="3" t="s">
        <v>60</v>
      </c>
      <c r="AM78" s="3" t="str">
        <f t="shared" si="11"/>
        <v>Must Have</v>
      </c>
    </row>
    <row r="79" spans="1:39" ht="108" hidden="1" customHeight="1" x14ac:dyDescent="0.35">
      <c r="A79" s="4">
        <v>78</v>
      </c>
      <c r="B79" s="3" t="s">
        <v>39</v>
      </c>
      <c r="C79" s="3" t="s">
        <v>878</v>
      </c>
      <c r="D79" s="3" t="s">
        <v>41</v>
      </c>
      <c r="E79" s="3" t="s">
        <v>879</v>
      </c>
      <c r="F79" s="3" t="s">
        <v>42</v>
      </c>
      <c r="G79" s="3" t="s">
        <v>891</v>
      </c>
      <c r="H79" s="3" t="s">
        <v>879</v>
      </c>
      <c r="I79" s="4" t="s">
        <v>892</v>
      </c>
      <c r="J79" s="3" t="s">
        <v>893</v>
      </c>
      <c r="K79" s="3" t="s">
        <v>894</v>
      </c>
      <c r="L79" s="3" t="s">
        <v>895</v>
      </c>
      <c r="M79" s="3" t="s">
        <v>896</v>
      </c>
      <c r="N79" s="3" t="s">
        <v>897</v>
      </c>
      <c r="O79" s="3" t="s">
        <v>898</v>
      </c>
      <c r="P79" s="3" t="s">
        <v>51</v>
      </c>
      <c r="Q79" s="3" t="s">
        <v>52</v>
      </c>
      <c r="R79" s="3" t="s">
        <v>53</v>
      </c>
      <c r="S79" s="3" t="s">
        <v>899</v>
      </c>
      <c r="T79" s="3" t="s">
        <v>68</v>
      </c>
      <c r="U79" s="3" t="s">
        <v>900</v>
      </c>
      <c r="V79" s="3" t="s">
        <v>901</v>
      </c>
      <c r="W79" s="3" t="s">
        <v>58</v>
      </c>
      <c r="X79" s="3">
        <f t="shared" si="6"/>
        <v>3</v>
      </c>
      <c r="Y79" s="3" t="s">
        <v>53</v>
      </c>
      <c r="Z79" s="3" t="s">
        <v>53</v>
      </c>
      <c r="AA79" s="3" t="s">
        <v>53</v>
      </c>
      <c r="AB79" s="3" t="str">
        <f t="shared" si="7"/>
        <v>Effective</v>
      </c>
      <c r="AC79" s="3" t="str">
        <f t="shared" si="8"/>
        <v>Low</v>
      </c>
      <c r="AD79" s="3">
        <f t="shared" si="9"/>
        <v>3</v>
      </c>
      <c r="AE79" s="3">
        <f t="shared" si="10"/>
        <v>3</v>
      </c>
      <c r="AF79" s="3" t="s">
        <v>59</v>
      </c>
      <c r="AG79" s="3"/>
      <c r="AH79" s="3"/>
      <c r="AI79" s="3"/>
      <c r="AJ79" s="3"/>
      <c r="AK79" s="3"/>
      <c r="AL79" s="3" t="s">
        <v>60</v>
      </c>
      <c r="AM79" s="3" t="str">
        <f t="shared" si="11"/>
        <v>Must Have</v>
      </c>
    </row>
    <row r="80" spans="1:39" ht="120" hidden="1" customHeight="1" x14ac:dyDescent="0.35">
      <c r="A80" s="4">
        <v>79</v>
      </c>
      <c r="B80" s="3" t="s">
        <v>39</v>
      </c>
      <c r="C80" s="3" t="s">
        <v>878</v>
      </c>
      <c r="D80" s="3" t="s">
        <v>41</v>
      </c>
      <c r="E80" s="3" t="s">
        <v>879</v>
      </c>
      <c r="F80" s="3" t="s">
        <v>42</v>
      </c>
      <c r="G80" s="3" t="s">
        <v>891</v>
      </c>
      <c r="H80" s="3" t="s">
        <v>879</v>
      </c>
      <c r="I80" s="4" t="s">
        <v>902</v>
      </c>
      <c r="J80" s="3" t="s">
        <v>903</v>
      </c>
      <c r="K80" s="3" t="s">
        <v>904</v>
      </c>
      <c r="L80" s="3" t="s">
        <v>905</v>
      </c>
      <c r="M80" s="3" t="s">
        <v>906</v>
      </c>
      <c r="N80" s="3" t="s">
        <v>907</v>
      </c>
      <c r="O80" s="3" t="s">
        <v>908</v>
      </c>
      <c r="P80" s="3" t="s">
        <v>51</v>
      </c>
      <c r="Q80" s="3" t="s">
        <v>52</v>
      </c>
      <c r="R80" s="3" t="s">
        <v>53</v>
      </c>
      <c r="S80" s="3" t="s">
        <v>909</v>
      </c>
      <c r="T80" s="3" t="s">
        <v>68</v>
      </c>
      <c r="U80" s="3" t="s">
        <v>910</v>
      </c>
      <c r="V80" s="3" t="s">
        <v>911</v>
      </c>
      <c r="W80" s="3" t="s">
        <v>159</v>
      </c>
      <c r="X80" s="3">
        <f t="shared" si="6"/>
        <v>2</v>
      </c>
      <c r="Y80" s="3" t="s">
        <v>53</v>
      </c>
      <c r="Z80" s="3" t="s">
        <v>53</v>
      </c>
      <c r="AA80" s="3" t="s">
        <v>53</v>
      </c>
      <c r="AB80" s="3" t="str">
        <f t="shared" si="7"/>
        <v>Effective</v>
      </c>
      <c r="AC80" s="3" t="str">
        <f t="shared" si="8"/>
        <v>Low</v>
      </c>
      <c r="AD80" s="3">
        <f t="shared" si="9"/>
        <v>2</v>
      </c>
      <c r="AE80" s="3">
        <f t="shared" si="10"/>
        <v>2</v>
      </c>
      <c r="AF80" s="3" t="s">
        <v>59</v>
      </c>
      <c r="AG80" s="3"/>
      <c r="AH80" s="3"/>
      <c r="AI80" s="3"/>
      <c r="AJ80" s="3"/>
      <c r="AK80" s="3"/>
      <c r="AL80" s="3" t="s">
        <v>60</v>
      </c>
      <c r="AM80" s="3" t="str">
        <f t="shared" si="11"/>
        <v>Should Have</v>
      </c>
    </row>
    <row r="81" spans="1:39" ht="108" hidden="1" customHeight="1" x14ac:dyDescent="0.35">
      <c r="A81" s="4">
        <v>80</v>
      </c>
      <c r="B81" s="3" t="s">
        <v>39</v>
      </c>
      <c r="C81" s="3" t="s">
        <v>878</v>
      </c>
      <c r="D81" s="3" t="s">
        <v>41</v>
      </c>
      <c r="E81" s="3" t="s">
        <v>879</v>
      </c>
      <c r="F81" s="3" t="s">
        <v>42</v>
      </c>
      <c r="G81" s="3" t="s">
        <v>891</v>
      </c>
      <c r="H81" s="3" t="s">
        <v>879</v>
      </c>
      <c r="I81" s="4" t="s">
        <v>912</v>
      </c>
      <c r="J81" s="3" t="s">
        <v>913</v>
      </c>
      <c r="K81" s="3" t="s">
        <v>914</v>
      </c>
      <c r="L81" s="3" t="s">
        <v>915</v>
      </c>
      <c r="M81" s="3" t="s">
        <v>916</v>
      </c>
      <c r="N81" s="3" t="s">
        <v>917</v>
      </c>
      <c r="O81" s="3" t="s">
        <v>918</v>
      </c>
      <c r="P81" s="3" t="s">
        <v>51</v>
      </c>
      <c r="Q81" s="3" t="s">
        <v>52</v>
      </c>
      <c r="R81" s="3" t="s">
        <v>53</v>
      </c>
      <c r="S81" s="3" t="s">
        <v>919</v>
      </c>
      <c r="T81" s="3" t="s">
        <v>920</v>
      </c>
      <c r="U81" s="3" t="s">
        <v>921</v>
      </c>
      <c r="V81" s="3" t="s">
        <v>922</v>
      </c>
      <c r="W81" s="3" t="s">
        <v>58</v>
      </c>
      <c r="X81" s="3">
        <f t="shared" si="6"/>
        <v>3</v>
      </c>
      <c r="Y81" s="3" t="s">
        <v>53</v>
      </c>
      <c r="Z81" s="3" t="s">
        <v>53</v>
      </c>
      <c r="AA81" s="3" t="s">
        <v>53</v>
      </c>
      <c r="AB81" s="3" t="str">
        <f t="shared" si="7"/>
        <v>Effective</v>
      </c>
      <c r="AC81" s="3" t="str">
        <f t="shared" si="8"/>
        <v>Low</v>
      </c>
      <c r="AD81" s="3">
        <f t="shared" si="9"/>
        <v>3</v>
      </c>
      <c r="AE81" s="3">
        <f t="shared" si="10"/>
        <v>3</v>
      </c>
      <c r="AF81" s="3" t="s">
        <v>59</v>
      </c>
      <c r="AG81" s="3"/>
      <c r="AH81" s="3"/>
      <c r="AI81" s="3"/>
      <c r="AJ81" s="3"/>
      <c r="AK81" s="3"/>
      <c r="AL81" s="3" t="s">
        <v>60</v>
      </c>
      <c r="AM81" s="3" t="str">
        <f t="shared" si="11"/>
        <v>Must Have</v>
      </c>
    </row>
    <row r="82" spans="1:39" ht="108" hidden="1" customHeight="1" x14ac:dyDescent="0.35">
      <c r="A82" s="4">
        <v>81</v>
      </c>
      <c r="B82" s="3" t="s">
        <v>39</v>
      </c>
      <c r="C82" s="3" t="s">
        <v>923</v>
      </c>
      <c r="D82" s="3" t="s">
        <v>352</v>
      </c>
      <c r="E82" s="3" t="s">
        <v>924</v>
      </c>
      <c r="F82" s="3" t="s">
        <v>114</v>
      </c>
      <c r="G82" s="3" t="s">
        <v>891</v>
      </c>
      <c r="H82" s="3" t="s">
        <v>924</v>
      </c>
      <c r="I82" s="4" t="s">
        <v>925</v>
      </c>
      <c r="J82" s="3" t="s">
        <v>926</v>
      </c>
      <c r="K82" s="3" t="s">
        <v>927</v>
      </c>
      <c r="L82" s="3" t="s">
        <v>928</v>
      </c>
      <c r="M82" s="3" t="s">
        <v>929</v>
      </c>
      <c r="N82" s="3" t="s">
        <v>930</v>
      </c>
      <c r="O82" s="3" t="s">
        <v>931</v>
      </c>
      <c r="P82" s="3" t="s">
        <v>51</v>
      </c>
      <c r="Q82" s="3" t="s">
        <v>52</v>
      </c>
      <c r="R82" s="3" t="s">
        <v>53</v>
      </c>
      <c r="S82" s="3" t="s">
        <v>932</v>
      </c>
      <c r="T82" s="3" t="s">
        <v>68</v>
      </c>
      <c r="U82" s="3" t="s">
        <v>933</v>
      </c>
      <c r="V82" s="3" t="s">
        <v>934</v>
      </c>
      <c r="W82" s="3" t="s">
        <v>58</v>
      </c>
      <c r="X82" s="3">
        <f t="shared" si="6"/>
        <v>3</v>
      </c>
      <c r="Y82" s="3" t="s">
        <v>53</v>
      </c>
      <c r="Z82" s="3" t="s">
        <v>53</v>
      </c>
      <c r="AA82" s="3" t="s">
        <v>53</v>
      </c>
      <c r="AB82" s="3" t="str">
        <f t="shared" si="7"/>
        <v>Effective</v>
      </c>
      <c r="AC82" s="3" t="str">
        <f t="shared" si="8"/>
        <v>Low</v>
      </c>
      <c r="AD82" s="3">
        <f t="shared" si="9"/>
        <v>3</v>
      </c>
      <c r="AE82" s="3">
        <f t="shared" si="10"/>
        <v>3</v>
      </c>
      <c r="AF82" s="3" t="s">
        <v>59</v>
      </c>
      <c r="AG82" s="3"/>
      <c r="AH82" s="3"/>
      <c r="AI82" s="3"/>
      <c r="AJ82" s="3"/>
      <c r="AK82" s="3"/>
      <c r="AL82" s="3" t="s">
        <v>60</v>
      </c>
      <c r="AM82" s="3" t="str">
        <f t="shared" si="11"/>
        <v>Must Have</v>
      </c>
    </row>
    <row r="83" spans="1:39" ht="108" hidden="1" customHeight="1" x14ac:dyDescent="0.35">
      <c r="A83" s="4">
        <v>82</v>
      </c>
      <c r="B83" s="3" t="s">
        <v>39</v>
      </c>
      <c r="C83" s="3" t="s">
        <v>923</v>
      </c>
      <c r="D83" s="3" t="s">
        <v>352</v>
      </c>
      <c r="E83" s="3" t="s">
        <v>924</v>
      </c>
      <c r="F83" s="3" t="s">
        <v>42</v>
      </c>
      <c r="G83" s="3" t="s">
        <v>891</v>
      </c>
      <c r="H83" s="3" t="s">
        <v>924</v>
      </c>
      <c r="I83" s="4" t="s">
        <v>935</v>
      </c>
      <c r="J83" s="3" t="s">
        <v>936</v>
      </c>
      <c r="K83" s="3" t="s">
        <v>937</v>
      </c>
      <c r="L83" s="3" t="s">
        <v>938</v>
      </c>
      <c r="M83" s="3" t="s">
        <v>939</v>
      </c>
      <c r="N83" s="3" t="s">
        <v>940</v>
      </c>
      <c r="O83" s="3" t="s">
        <v>941</v>
      </c>
      <c r="P83" s="3" t="s">
        <v>51</v>
      </c>
      <c r="Q83" s="3" t="s">
        <v>52</v>
      </c>
      <c r="R83" s="3" t="s">
        <v>53</v>
      </c>
      <c r="S83" s="3" t="s">
        <v>919</v>
      </c>
      <c r="T83" s="3" t="s">
        <v>68</v>
      </c>
      <c r="U83" s="3" t="s">
        <v>942</v>
      </c>
      <c r="V83" s="3" t="s">
        <v>943</v>
      </c>
      <c r="W83" s="3" t="s">
        <v>58</v>
      </c>
      <c r="X83" s="3">
        <f t="shared" si="6"/>
        <v>3</v>
      </c>
      <c r="Y83" s="3" t="s">
        <v>53</v>
      </c>
      <c r="Z83" s="3" t="s">
        <v>53</v>
      </c>
      <c r="AA83" s="3" t="s">
        <v>53</v>
      </c>
      <c r="AB83" s="3" t="str">
        <f t="shared" si="7"/>
        <v>Effective</v>
      </c>
      <c r="AC83" s="3" t="str">
        <f t="shared" si="8"/>
        <v>Low</v>
      </c>
      <c r="AD83" s="3">
        <f t="shared" si="9"/>
        <v>3</v>
      </c>
      <c r="AE83" s="3">
        <f t="shared" si="10"/>
        <v>3</v>
      </c>
      <c r="AF83" s="3" t="s">
        <v>59</v>
      </c>
      <c r="AG83" s="3"/>
      <c r="AH83" s="3"/>
      <c r="AI83" s="3"/>
      <c r="AJ83" s="3"/>
      <c r="AK83" s="3"/>
      <c r="AL83" s="3" t="s">
        <v>60</v>
      </c>
      <c r="AM83" s="3" t="str">
        <f t="shared" si="11"/>
        <v>Must Have</v>
      </c>
    </row>
    <row r="84" spans="1:39" ht="108" hidden="1" customHeight="1" x14ac:dyDescent="0.35">
      <c r="A84" s="4">
        <v>83</v>
      </c>
      <c r="B84" s="3" t="s">
        <v>39</v>
      </c>
      <c r="C84" s="3" t="s">
        <v>923</v>
      </c>
      <c r="D84" s="3" t="s">
        <v>352</v>
      </c>
      <c r="E84" s="3" t="s">
        <v>924</v>
      </c>
      <c r="F84" s="3" t="s">
        <v>114</v>
      </c>
      <c r="G84" s="3" t="s">
        <v>891</v>
      </c>
      <c r="H84" s="3" t="s">
        <v>924</v>
      </c>
      <c r="I84" s="4" t="s">
        <v>944</v>
      </c>
      <c r="J84" s="3" t="s">
        <v>945</v>
      </c>
      <c r="K84" s="3" t="s">
        <v>946</v>
      </c>
      <c r="L84" s="3" t="s">
        <v>947</v>
      </c>
      <c r="M84" s="3" t="s">
        <v>948</v>
      </c>
      <c r="N84" s="3" t="s">
        <v>949</v>
      </c>
      <c r="O84" s="3" t="s">
        <v>950</v>
      </c>
      <c r="P84" s="3" t="s">
        <v>51</v>
      </c>
      <c r="Q84" s="3" t="s">
        <v>52</v>
      </c>
      <c r="R84" s="3" t="s">
        <v>53</v>
      </c>
      <c r="S84" s="3" t="s">
        <v>951</v>
      </c>
      <c r="T84" s="3" t="s">
        <v>68</v>
      </c>
      <c r="U84" s="3" t="s">
        <v>952</v>
      </c>
      <c r="V84" s="3" t="s">
        <v>953</v>
      </c>
      <c r="W84" s="3" t="s">
        <v>58</v>
      </c>
      <c r="X84" s="3">
        <f t="shared" si="6"/>
        <v>3</v>
      </c>
      <c r="Y84" s="3" t="s">
        <v>53</v>
      </c>
      <c r="Z84" s="3" t="s">
        <v>53</v>
      </c>
      <c r="AA84" s="3" t="s">
        <v>53</v>
      </c>
      <c r="AB84" s="3" t="str">
        <f t="shared" si="7"/>
        <v>Effective</v>
      </c>
      <c r="AC84" s="3" t="str">
        <f t="shared" si="8"/>
        <v>Low</v>
      </c>
      <c r="AD84" s="3">
        <f t="shared" si="9"/>
        <v>3</v>
      </c>
      <c r="AE84" s="3">
        <f t="shared" si="10"/>
        <v>3</v>
      </c>
      <c r="AF84" s="3" t="s">
        <v>59</v>
      </c>
      <c r="AG84" s="3"/>
      <c r="AH84" s="3"/>
      <c r="AI84" s="3"/>
      <c r="AJ84" s="3"/>
      <c r="AK84" s="3"/>
      <c r="AL84" s="3" t="s">
        <v>60</v>
      </c>
      <c r="AM84" s="3" t="str">
        <f t="shared" si="11"/>
        <v>Must Have</v>
      </c>
    </row>
    <row r="85" spans="1:39" ht="108" hidden="1" customHeight="1" x14ac:dyDescent="0.35">
      <c r="A85" s="4">
        <v>84</v>
      </c>
      <c r="B85" s="3" t="s">
        <v>39</v>
      </c>
      <c r="C85" s="3" t="s">
        <v>923</v>
      </c>
      <c r="D85" s="3" t="s">
        <v>352</v>
      </c>
      <c r="E85" s="3" t="s">
        <v>924</v>
      </c>
      <c r="F85" s="3" t="s">
        <v>42</v>
      </c>
      <c r="G85" s="3" t="s">
        <v>891</v>
      </c>
      <c r="H85" s="3" t="s">
        <v>924</v>
      </c>
      <c r="I85" s="4" t="s">
        <v>954</v>
      </c>
      <c r="J85" s="3" t="s">
        <v>955</v>
      </c>
      <c r="K85" s="3" t="s">
        <v>956</v>
      </c>
      <c r="L85" s="3" t="s">
        <v>957</v>
      </c>
      <c r="M85" s="3" t="s">
        <v>958</v>
      </c>
      <c r="N85" s="3" t="s">
        <v>959</v>
      </c>
      <c r="O85" s="3" t="s">
        <v>960</v>
      </c>
      <c r="P85" s="3" t="s">
        <v>51</v>
      </c>
      <c r="Q85" s="3" t="s">
        <v>52</v>
      </c>
      <c r="R85" s="3" t="s">
        <v>53</v>
      </c>
      <c r="S85" s="3" t="s">
        <v>961</v>
      </c>
      <c r="T85" s="3" t="s">
        <v>962</v>
      </c>
      <c r="U85" s="3" t="s">
        <v>963</v>
      </c>
      <c r="V85" s="3" t="s">
        <v>964</v>
      </c>
      <c r="W85" s="3" t="s">
        <v>58</v>
      </c>
      <c r="X85" s="3">
        <f t="shared" si="6"/>
        <v>3</v>
      </c>
      <c r="Y85" s="3" t="s">
        <v>53</v>
      </c>
      <c r="Z85" s="3" t="s">
        <v>53</v>
      </c>
      <c r="AA85" s="3" t="s">
        <v>53</v>
      </c>
      <c r="AB85" s="3" t="str">
        <f t="shared" si="7"/>
        <v>Effective</v>
      </c>
      <c r="AC85" s="3" t="str">
        <f t="shared" si="8"/>
        <v>Low</v>
      </c>
      <c r="AD85" s="3">
        <f t="shared" si="9"/>
        <v>3</v>
      </c>
      <c r="AE85" s="3">
        <f t="shared" si="10"/>
        <v>3</v>
      </c>
      <c r="AF85" s="3" t="s">
        <v>59</v>
      </c>
      <c r="AG85" s="3"/>
      <c r="AH85" s="3"/>
      <c r="AI85" s="3"/>
      <c r="AJ85" s="3"/>
      <c r="AK85" s="3"/>
      <c r="AL85" s="3" t="s">
        <v>60</v>
      </c>
      <c r="AM85" s="3" t="str">
        <f t="shared" si="11"/>
        <v>Must Have</v>
      </c>
    </row>
    <row r="86" spans="1:39" ht="120" customHeight="1" x14ac:dyDescent="0.35">
      <c r="A86" s="4">
        <v>85</v>
      </c>
      <c r="B86" s="3" t="s">
        <v>39</v>
      </c>
      <c r="C86" s="3" t="s">
        <v>965</v>
      </c>
      <c r="D86" s="3" t="s">
        <v>352</v>
      </c>
      <c r="E86" s="3" t="s">
        <v>966</v>
      </c>
      <c r="F86" s="3" t="s">
        <v>42</v>
      </c>
      <c r="G86" s="3" t="s">
        <v>967</v>
      </c>
      <c r="H86" s="3" t="s">
        <v>966</v>
      </c>
      <c r="I86" s="4" t="s">
        <v>968</v>
      </c>
      <c r="J86" s="3" t="s">
        <v>969</v>
      </c>
      <c r="K86" s="3" t="s">
        <v>970</v>
      </c>
      <c r="L86" s="3" t="s">
        <v>971</v>
      </c>
      <c r="M86" s="3" t="s">
        <v>972</v>
      </c>
      <c r="N86" s="3" t="s">
        <v>973</v>
      </c>
      <c r="O86" s="3" t="s">
        <v>974</v>
      </c>
      <c r="P86" s="3" t="s">
        <v>51</v>
      </c>
      <c r="Q86" s="3" t="s">
        <v>153</v>
      </c>
      <c r="R86" s="3" t="s">
        <v>53</v>
      </c>
      <c r="S86" s="3" t="s">
        <v>975</v>
      </c>
      <c r="T86" s="3" t="s">
        <v>68</v>
      </c>
      <c r="U86" s="3" t="s">
        <v>976</v>
      </c>
      <c r="V86" s="3" t="s">
        <v>977</v>
      </c>
      <c r="W86" s="3" t="s">
        <v>978</v>
      </c>
      <c r="X86" s="3">
        <f t="shared" si="6"/>
        <v>4</v>
      </c>
      <c r="Y86" s="3" t="s">
        <v>53</v>
      </c>
      <c r="Z86" s="3" t="s">
        <v>53</v>
      </c>
      <c r="AA86" s="3" t="s">
        <v>53</v>
      </c>
      <c r="AB86" s="3" t="str">
        <f t="shared" si="7"/>
        <v>Effective</v>
      </c>
      <c r="AC86" s="3" t="str">
        <f t="shared" si="8"/>
        <v>Medium</v>
      </c>
      <c r="AD86" s="3">
        <f t="shared" si="9"/>
        <v>4</v>
      </c>
      <c r="AE86" s="3">
        <f t="shared" si="10"/>
        <v>4</v>
      </c>
      <c r="AF86" s="3" t="s">
        <v>59</v>
      </c>
      <c r="AG86" s="3"/>
      <c r="AH86" s="3"/>
      <c r="AI86" s="3"/>
      <c r="AJ86" s="3"/>
      <c r="AK86" s="3"/>
      <c r="AL86" s="3" t="s">
        <v>60</v>
      </c>
      <c r="AM86" s="3" t="str">
        <f t="shared" si="11"/>
        <v>Must Have</v>
      </c>
    </row>
    <row r="87" spans="1:39" ht="108" hidden="1" customHeight="1" x14ac:dyDescent="0.35">
      <c r="A87" s="4">
        <v>86</v>
      </c>
      <c r="B87" s="3" t="s">
        <v>39</v>
      </c>
      <c r="C87" s="3" t="s">
        <v>965</v>
      </c>
      <c r="D87" s="3" t="s">
        <v>352</v>
      </c>
      <c r="E87" s="3" t="s">
        <v>966</v>
      </c>
      <c r="F87" s="3" t="s">
        <v>42</v>
      </c>
      <c r="G87" s="3" t="s">
        <v>891</v>
      </c>
      <c r="H87" s="3" t="s">
        <v>966</v>
      </c>
      <c r="I87" s="4" t="s">
        <v>979</v>
      </c>
      <c r="J87" s="3" t="s">
        <v>980</v>
      </c>
      <c r="K87" s="3" t="s">
        <v>981</v>
      </c>
      <c r="L87" s="3" t="s">
        <v>982</v>
      </c>
      <c r="M87" s="3" t="s">
        <v>983</v>
      </c>
      <c r="N87" s="3" t="s">
        <v>984</v>
      </c>
      <c r="O87" s="3" t="s">
        <v>985</v>
      </c>
      <c r="P87" s="3" t="s">
        <v>51</v>
      </c>
      <c r="Q87" s="3" t="s">
        <v>52</v>
      </c>
      <c r="R87" s="3" t="s">
        <v>53</v>
      </c>
      <c r="S87" s="3" t="s">
        <v>986</v>
      </c>
      <c r="T87" s="3" t="s">
        <v>68</v>
      </c>
      <c r="U87" s="3" t="s">
        <v>987</v>
      </c>
      <c r="V87" s="3" t="s">
        <v>988</v>
      </c>
      <c r="W87" s="3" t="s">
        <v>58</v>
      </c>
      <c r="X87" s="3">
        <f t="shared" si="6"/>
        <v>3</v>
      </c>
      <c r="Y87" s="3" t="s">
        <v>53</v>
      </c>
      <c r="Z87" s="3" t="s">
        <v>53</v>
      </c>
      <c r="AA87" s="3" t="s">
        <v>53</v>
      </c>
      <c r="AB87" s="3" t="str">
        <f t="shared" si="7"/>
        <v>Effective</v>
      </c>
      <c r="AC87" s="3" t="str">
        <f t="shared" si="8"/>
        <v>Low</v>
      </c>
      <c r="AD87" s="3">
        <f t="shared" si="9"/>
        <v>3</v>
      </c>
      <c r="AE87" s="3">
        <f t="shared" si="10"/>
        <v>3</v>
      </c>
      <c r="AF87" s="3" t="s">
        <v>59</v>
      </c>
      <c r="AG87" s="3"/>
      <c r="AH87" s="3"/>
      <c r="AI87" s="3"/>
      <c r="AJ87" s="3"/>
      <c r="AK87" s="3"/>
      <c r="AL87" s="3" t="s">
        <v>60</v>
      </c>
      <c r="AM87" s="3" t="str">
        <f t="shared" si="11"/>
        <v>Must Have</v>
      </c>
    </row>
    <row r="88" spans="1:39" ht="108" hidden="1" customHeight="1" x14ac:dyDescent="0.35">
      <c r="A88" s="4">
        <v>87</v>
      </c>
      <c r="B88" s="3" t="s">
        <v>39</v>
      </c>
      <c r="C88" s="3" t="s">
        <v>965</v>
      </c>
      <c r="D88" s="3" t="s">
        <v>352</v>
      </c>
      <c r="E88" s="3" t="s">
        <v>966</v>
      </c>
      <c r="F88" s="3" t="s">
        <v>42</v>
      </c>
      <c r="G88" s="3" t="s">
        <v>891</v>
      </c>
      <c r="H88" s="3" t="s">
        <v>966</v>
      </c>
      <c r="I88" s="4" t="s">
        <v>989</v>
      </c>
      <c r="J88" s="3" t="s">
        <v>990</v>
      </c>
      <c r="K88" s="3" t="s">
        <v>991</v>
      </c>
      <c r="L88" s="3" t="s">
        <v>992</v>
      </c>
      <c r="M88" s="3" t="s">
        <v>993</v>
      </c>
      <c r="N88" s="3" t="s">
        <v>994</v>
      </c>
      <c r="O88" s="3" t="s">
        <v>995</v>
      </c>
      <c r="P88" s="3" t="s">
        <v>51</v>
      </c>
      <c r="Q88" s="3" t="s">
        <v>153</v>
      </c>
      <c r="R88" s="3" t="s">
        <v>53</v>
      </c>
      <c r="S88" s="3" t="s">
        <v>996</v>
      </c>
      <c r="T88" s="3" t="s">
        <v>68</v>
      </c>
      <c r="U88" s="3" t="s">
        <v>997</v>
      </c>
      <c r="V88" s="3" t="s">
        <v>998</v>
      </c>
      <c r="W88" s="3" t="s">
        <v>978</v>
      </c>
      <c r="X88" s="3">
        <f t="shared" si="6"/>
        <v>4</v>
      </c>
      <c r="Y88" s="3" t="s">
        <v>53</v>
      </c>
      <c r="Z88" s="3" t="s">
        <v>53</v>
      </c>
      <c r="AA88" s="3" t="s">
        <v>53</v>
      </c>
      <c r="AB88" s="3" t="str">
        <f t="shared" si="7"/>
        <v>Effective</v>
      </c>
      <c r="AC88" s="3" t="str">
        <f t="shared" si="8"/>
        <v>Medium</v>
      </c>
      <c r="AD88" s="3">
        <f t="shared" si="9"/>
        <v>4</v>
      </c>
      <c r="AE88" s="3">
        <f t="shared" si="10"/>
        <v>4</v>
      </c>
      <c r="AF88" s="3" t="s">
        <v>59</v>
      </c>
      <c r="AG88" s="3"/>
      <c r="AH88" s="3"/>
      <c r="AI88" s="3"/>
      <c r="AJ88" s="3"/>
      <c r="AK88" s="3"/>
      <c r="AL88" s="3" t="s">
        <v>60</v>
      </c>
      <c r="AM88" s="3" t="str">
        <f t="shared" si="11"/>
        <v>Must Have</v>
      </c>
    </row>
    <row r="89" spans="1:39" ht="120" hidden="1" customHeight="1" x14ac:dyDescent="0.35">
      <c r="A89" s="4">
        <v>88</v>
      </c>
      <c r="B89" s="3" t="s">
        <v>39</v>
      </c>
      <c r="C89" s="3" t="s">
        <v>965</v>
      </c>
      <c r="D89" s="3" t="s">
        <v>352</v>
      </c>
      <c r="E89" s="3" t="s">
        <v>966</v>
      </c>
      <c r="F89" s="3" t="s">
        <v>42</v>
      </c>
      <c r="G89" s="3" t="s">
        <v>891</v>
      </c>
      <c r="H89" s="3" t="s">
        <v>966</v>
      </c>
      <c r="I89" s="4" t="s">
        <v>999</v>
      </c>
      <c r="J89" s="3" t="s">
        <v>1000</v>
      </c>
      <c r="K89" s="3" t="s">
        <v>1001</v>
      </c>
      <c r="L89" s="3" t="s">
        <v>1002</v>
      </c>
      <c r="M89" s="3" t="s">
        <v>1003</v>
      </c>
      <c r="N89" s="3" t="s">
        <v>1004</v>
      </c>
      <c r="O89" s="3" t="s">
        <v>1005</v>
      </c>
      <c r="P89" s="3" t="s">
        <v>51</v>
      </c>
      <c r="Q89" s="3" t="s">
        <v>153</v>
      </c>
      <c r="R89" s="3" t="s">
        <v>154</v>
      </c>
      <c r="S89" s="3" t="s">
        <v>1006</v>
      </c>
      <c r="T89" s="3" t="s">
        <v>68</v>
      </c>
      <c r="U89" s="3" t="s">
        <v>1007</v>
      </c>
      <c r="V89" s="3" t="s">
        <v>1008</v>
      </c>
      <c r="W89" s="3" t="s">
        <v>159</v>
      </c>
      <c r="X89" s="3">
        <f t="shared" si="6"/>
        <v>2</v>
      </c>
      <c r="Y89" s="3" t="s">
        <v>53</v>
      </c>
      <c r="Z89" s="3" t="s">
        <v>53</v>
      </c>
      <c r="AA89" s="3" t="s">
        <v>53</v>
      </c>
      <c r="AB89" s="3" t="str">
        <f t="shared" si="7"/>
        <v>Effective</v>
      </c>
      <c r="AC89" s="3" t="str">
        <f t="shared" si="8"/>
        <v>Low</v>
      </c>
      <c r="AD89" s="3">
        <f t="shared" si="9"/>
        <v>2</v>
      </c>
      <c r="AE89" s="3">
        <f t="shared" si="10"/>
        <v>2</v>
      </c>
      <c r="AF89" s="3" t="s">
        <v>59</v>
      </c>
      <c r="AG89" s="3"/>
      <c r="AH89" s="3"/>
      <c r="AI89" s="3"/>
      <c r="AJ89" s="3"/>
      <c r="AK89" s="3"/>
      <c r="AL89" s="3" t="s">
        <v>60</v>
      </c>
      <c r="AM89" s="3" t="str">
        <f t="shared" si="11"/>
        <v>Should Have</v>
      </c>
    </row>
    <row r="90" spans="1:39" ht="108" hidden="1" customHeight="1" x14ac:dyDescent="0.35">
      <c r="A90" s="4">
        <v>89</v>
      </c>
      <c r="B90" s="3" t="s">
        <v>39</v>
      </c>
      <c r="C90" s="3" t="s">
        <v>1009</v>
      </c>
      <c r="D90" s="3" t="s">
        <v>268</v>
      </c>
      <c r="E90" s="3" t="s">
        <v>1010</v>
      </c>
      <c r="F90" s="3" t="s">
        <v>42</v>
      </c>
      <c r="G90" s="3" t="s">
        <v>891</v>
      </c>
      <c r="H90" s="3" t="s">
        <v>1010</v>
      </c>
      <c r="I90" s="4" t="s">
        <v>1011</v>
      </c>
      <c r="J90" s="3" t="s">
        <v>1012</v>
      </c>
      <c r="K90" s="3" t="s">
        <v>1013</v>
      </c>
      <c r="L90" s="3" t="s">
        <v>1014</v>
      </c>
      <c r="M90" s="3" t="s">
        <v>1015</v>
      </c>
      <c r="N90" s="3" t="s">
        <v>1016</v>
      </c>
      <c r="O90" s="3" t="s">
        <v>1017</v>
      </c>
      <c r="P90" s="3" t="s">
        <v>51</v>
      </c>
      <c r="Q90" s="3" t="s">
        <v>153</v>
      </c>
      <c r="R90" s="3" t="s">
        <v>53</v>
      </c>
      <c r="S90" s="3" t="s">
        <v>1018</v>
      </c>
      <c r="T90" s="3" t="s">
        <v>1019</v>
      </c>
      <c r="U90" s="3" t="s">
        <v>1020</v>
      </c>
      <c r="V90" s="3" t="s">
        <v>1021</v>
      </c>
      <c r="W90" s="3" t="s">
        <v>58</v>
      </c>
      <c r="X90" s="3">
        <f t="shared" si="6"/>
        <v>3</v>
      </c>
      <c r="Y90" s="3" t="s">
        <v>53</v>
      </c>
      <c r="Z90" s="3" t="s">
        <v>53</v>
      </c>
      <c r="AA90" s="3" t="s">
        <v>53</v>
      </c>
      <c r="AB90" s="3" t="str">
        <f t="shared" si="7"/>
        <v>Effective</v>
      </c>
      <c r="AC90" s="3" t="str">
        <f t="shared" si="8"/>
        <v>Low</v>
      </c>
      <c r="AD90" s="3">
        <f t="shared" si="9"/>
        <v>3</v>
      </c>
      <c r="AE90" s="3">
        <f t="shared" si="10"/>
        <v>3</v>
      </c>
      <c r="AF90" s="3" t="s">
        <v>59</v>
      </c>
      <c r="AG90" s="3"/>
      <c r="AH90" s="3"/>
      <c r="AI90" s="3"/>
      <c r="AJ90" s="3"/>
      <c r="AK90" s="3"/>
      <c r="AL90" s="3" t="s">
        <v>60</v>
      </c>
      <c r="AM90" s="3" t="str">
        <f t="shared" si="11"/>
        <v>Must Have</v>
      </c>
    </row>
    <row r="91" spans="1:39" ht="120" hidden="1" customHeight="1" x14ac:dyDescent="0.35">
      <c r="A91" s="4">
        <v>90</v>
      </c>
      <c r="B91" s="3" t="s">
        <v>39</v>
      </c>
      <c r="C91" s="3" t="s">
        <v>1009</v>
      </c>
      <c r="D91" s="3" t="s">
        <v>268</v>
      </c>
      <c r="E91" s="3" t="s">
        <v>1010</v>
      </c>
      <c r="F91" s="3" t="s">
        <v>42</v>
      </c>
      <c r="G91" s="3" t="s">
        <v>891</v>
      </c>
      <c r="H91" s="3" t="s">
        <v>1010</v>
      </c>
      <c r="I91" s="4" t="s">
        <v>1022</v>
      </c>
      <c r="J91" s="3" t="s">
        <v>1023</v>
      </c>
      <c r="K91" s="3" t="s">
        <v>1024</v>
      </c>
      <c r="L91" s="3" t="s">
        <v>1025</v>
      </c>
      <c r="M91" s="3" t="s">
        <v>1026</v>
      </c>
      <c r="N91" s="3" t="s">
        <v>1027</v>
      </c>
      <c r="O91" s="3" t="s">
        <v>1028</v>
      </c>
      <c r="P91" s="3" t="s">
        <v>51</v>
      </c>
      <c r="Q91" s="3" t="s">
        <v>52</v>
      </c>
      <c r="R91" s="3" t="s">
        <v>53</v>
      </c>
      <c r="S91" s="3" t="s">
        <v>1029</v>
      </c>
      <c r="T91" s="3" t="s">
        <v>1030</v>
      </c>
      <c r="U91" s="3" t="s">
        <v>1031</v>
      </c>
      <c r="V91" s="3" t="s">
        <v>1032</v>
      </c>
      <c r="W91" s="3" t="s">
        <v>58</v>
      </c>
      <c r="X91" s="3">
        <f t="shared" si="6"/>
        <v>3</v>
      </c>
      <c r="Y91" s="3" t="s">
        <v>53</v>
      </c>
      <c r="Z91" s="3" t="s">
        <v>53</v>
      </c>
      <c r="AA91" s="3" t="s">
        <v>53</v>
      </c>
      <c r="AB91" s="3" t="str">
        <f t="shared" si="7"/>
        <v>Effective</v>
      </c>
      <c r="AC91" s="3" t="str">
        <f t="shared" si="8"/>
        <v>Low</v>
      </c>
      <c r="AD91" s="3">
        <f t="shared" si="9"/>
        <v>3</v>
      </c>
      <c r="AE91" s="3">
        <f t="shared" si="10"/>
        <v>3</v>
      </c>
      <c r="AF91" s="3" t="s">
        <v>59</v>
      </c>
      <c r="AG91" s="3"/>
      <c r="AH91" s="3"/>
      <c r="AI91" s="3"/>
      <c r="AJ91" s="3"/>
      <c r="AK91" s="3"/>
      <c r="AL91" s="3" t="s">
        <v>60</v>
      </c>
      <c r="AM91" s="3" t="str">
        <f t="shared" si="11"/>
        <v>Must Have</v>
      </c>
    </row>
    <row r="92" spans="1:39" ht="120" hidden="1" customHeight="1" x14ac:dyDescent="0.35">
      <c r="A92" s="4">
        <v>91</v>
      </c>
      <c r="B92" s="3" t="s">
        <v>39</v>
      </c>
      <c r="C92" s="3" t="s">
        <v>1009</v>
      </c>
      <c r="D92" s="3" t="s">
        <v>268</v>
      </c>
      <c r="E92" s="3" t="s">
        <v>1010</v>
      </c>
      <c r="F92" s="3" t="s">
        <v>42</v>
      </c>
      <c r="G92" s="3" t="s">
        <v>891</v>
      </c>
      <c r="H92" s="3" t="s">
        <v>1010</v>
      </c>
      <c r="I92" s="4" t="s">
        <v>1033</v>
      </c>
      <c r="J92" s="3" t="s">
        <v>1034</v>
      </c>
      <c r="K92" s="3" t="s">
        <v>1035</v>
      </c>
      <c r="L92" s="3" t="s">
        <v>1036</v>
      </c>
      <c r="M92" s="3" t="s">
        <v>1037</v>
      </c>
      <c r="N92" s="3" t="s">
        <v>1038</v>
      </c>
      <c r="O92" s="3" t="s">
        <v>1039</v>
      </c>
      <c r="P92" s="3" t="s">
        <v>51</v>
      </c>
      <c r="Q92" s="3" t="s">
        <v>52</v>
      </c>
      <c r="R92" s="3" t="s">
        <v>53</v>
      </c>
      <c r="S92" s="3" t="s">
        <v>1040</v>
      </c>
      <c r="T92" s="3" t="s">
        <v>1041</v>
      </c>
      <c r="U92" s="3" t="s">
        <v>1042</v>
      </c>
      <c r="V92" s="3" t="s">
        <v>1043</v>
      </c>
      <c r="W92" s="3" t="s">
        <v>58</v>
      </c>
      <c r="X92" s="3">
        <f t="shared" si="6"/>
        <v>3</v>
      </c>
      <c r="Y92" s="3" t="s">
        <v>53</v>
      </c>
      <c r="Z92" s="3" t="s">
        <v>53</v>
      </c>
      <c r="AA92" s="3" t="s">
        <v>53</v>
      </c>
      <c r="AB92" s="3" t="str">
        <f t="shared" si="7"/>
        <v>Effective</v>
      </c>
      <c r="AC92" s="3" t="str">
        <f t="shared" si="8"/>
        <v>Low</v>
      </c>
      <c r="AD92" s="3">
        <f t="shared" si="9"/>
        <v>3</v>
      </c>
      <c r="AE92" s="3">
        <f t="shared" si="10"/>
        <v>3</v>
      </c>
      <c r="AF92" s="3" t="s">
        <v>59</v>
      </c>
      <c r="AG92" s="3"/>
      <c r="AH92" s="3"/>
      <c r="AI92" s="3"/>
      <c r="AJ92" s="3"/>
      <c r="AK92" s="3"/>
      <c r="AL92" s="3" t="s">
        <v>60</v>
      </c>
      <c r="AM92" s="3" t="str">
        <f t="shared" si="11"/>
        <v>Must Have</v>
      </c>
    </row>
    <row r="93" spans="1:39" ht="120" hidden="1" customHeight="1" x14ac:dyDescent="0.35">
      <c r="A93" s="4">
        <v>92</v>
      </c>
      <c r="B93" s="3" t="s">
        <v>39</v>
      </c>
      <c r="C93" s="3" t="s">
        <v>1009</v>
      </c>
      <c r="D93" s="3" t="s">
        <v>268</v>
      </c>
      <c r="E93" s="3" t="s">
        <v>1010</v>
      </c>
      <c r="F93" s="3" t="s">
        <v>114</v>
      </c>
      <c r="G93" s="3" t="s">
        <v>891</v>
      </c>
      <c r="H93" s="3" t="s">
        <v>1010</v>
      </c>
      <c r="I93" s="4" t="s">
        <v>1044</v>
      </c>
      <c r="J93" s="3" t="s">
        <v>1045</v>
      </c>
      <c r="K93" s="3" t="s">
        <v>1046</v>
      </c>
      <c r="L93" s="3" t="s">
        <v>1047</v>
      </c>
      <c r="M93" s="3" t="s">
        <v>1048</v>
      </c>
      <c r="N93" s="3" t="s">
        <v>1049</v>
      </c>
      <c r="O93" s="3" t="s">
        <v>1050</v>
      </c>
      <c r="P93" s="3" t="s">
        <v>51</v>
      </c>
      <c r="Q93" s="3" t="s">
        <v>52</v>
      </c>
      <c r="R93" s="3" t="s">
        <v>53</v>
      </c>
      <c r="S93" s="3" t="s">
        <v>1051</v>
      </c>
      <c r="T93" s="3" t="s">
        <v>1052</v>
      </c>
      <c r="U93" s="3" t="s">
        <v>1053</v>
      </c>
      <c r="V93" s="3" t="s">
        <v>1054</v>
      </c>
      <c r="W93" s="3" t="s">
        <v>58</v>
      </c>
      <c r="X93" s="3">
        <f t="shared" si="6"/>
        <v>3</v>
      </c>
      <c r="Y93" s="3" t="s">
        <v>53</v>
      </c>
      <c r="Z93" s="3" t="s">
        <v>53</v>
      </c>
      <c r="AA93" s="3" t="s">
        <v>53</v>
      </c>
      <c r="AB93" s="3" t="str">
        <f t="shared" si="7"/>
        <v>Effective</v>
      </c>
      <c r="AC93" s="3" t="str">
        <f t="shared" si="8"/>
        <v>Low</v>
      </c>
      <c r="AD93" s="3">
        <f t="shared" si="9"/>
        <v>3</v>
      </c>
      <c r="AE93" s="3">
        <f t="shared" si="10"/>
        <v>3</v>
      </c>
      <c r="AF93" s="3" t="s">
        <v>59</v>
      </c>
      <c r="AG93" s="3"/>
      <c r="AH93" s="3"/>
      <c r="AI93" s="3"/>
      <c r="AJ93" s="3"/>
      <c r="AK93" s="3"/>
      <c r="AL93" s="3" t="s">
        <v>60</v>
      </c>
      <c r="AM93" s="3" t="str">
        <f t="shared" si="11"/>
        <v>Must Have</v>
      </c>
    </row>
    <row r="94" spans="1:39" ht="120" hidden="1" customHeight="1" x14ac:dyDescent="0.35">
      <c r="A94" s="4">
        <v>93</v>
      </c>
      <c r="B94" s="3" t="s">
        <v>39</v>
      </c>
      <c r="C94" s="3" t="s">
        <v>1055</v>
      </c>
      <c r="D94" s="3" t="s">
        <v>551</v>
      </c>
      <c r="E94" s="3" t="s">
        <v>1056</v>
      </c>
      <c r="F94" s="3" t="s">
        <v>114</v>
      </c>
      <c r="G94" s="3" t="s">
        <v>891</v>
      </c>
      <c r="H94" s="3" t="s">
        <v>1056</v>
      </c>
      <c r="I94" s="4" t="s">
        <v>1057</v>
      </c>
      <c r="J94" s="3" t="s">
        <v>1058</v>
      </c>
      <c r="K94" s="3" t="s">
        <v>1059</v>
      </c>
      <c r="L94" s="3" t="s">
        <v>1060</v>
      </c>
      <c r="M94" s="3" t="s">
        <v>1061</v>
      </c>
      <c r="N94" s="3" t="s">
        <v>1062</v>
      </c>
      <c r="O94" s="3" t="s">
        <v>1063</v>
      </c>
      <c r="P94" s="3" t="s">
        <v>51</v>
      </c>
      <c r="Q94" s="3" t="s">
        <v>153</v>
      </c>
      <c r="R94" s="3" t="s">
        <v>53</v>
      </c>
      <c r="S94" s="3" t="s">
        <v>1064</v>
      </c>
      <c r="T94" s="3" t="s">
        <v>1065</v>
      </c>
      <c r="U94" s="3" t="s">
        <v>1066</v>
      </c>
      <c r="V94" s="3" t="s">
        <v>1067</v>
      </c>
      <c r="W94" s="3" t="s">
        <v>978</v>
      </c>
      <c r="X94" s="3">
        <f t="shared" si="6"/>
        <v>4</v>
      </c>
      <c r="Y94" s="3" t="s">
        <v>53</v>
      </c>
      <c r="Z94" s="3" t="s">
        <v>53</v>
      </c>
      <c r="AA94" s="3" t="s">
        <v>53</v>
      </c>
      <c r="AB94" s="3" t="str">
        <f t="shared" si="7"/>
        <v>Effective</v>
      </c>
      <c r="AC94" s="3" t="str">
        <f t="shared" si="8"/>
        <v>Medium</v>
      </c>
      <c r="AD94" s="3">
        <f t="shared" si="9"/>
        <v>4</v>
      </c>
      <c r="AE94" s="3">
        <f t="shared" si="10"/>
        <v>4</v>
      </c>
      <c r="AF94" s="3" t="s">
        <v>59</v>
      </c>
      <c r="AG94" s="3"/>
      <c r="AH94" s="3"/>
      <c r="AI94" s="3"/>
      <c r="AJ94" s="3"/>
      <c r="AK94" s="3"/>
      <c r="AL94" s="3" t="s">
        <v>60</v>
      </c>
      <c r="AM94" s="3" t="str">
        <f t="shared" si="11"/>
        <v>Must Have</v>
      </c>
    </row>
    <row r="95" spans="1:39" ht="120" hidden="1" customHeight="1" x14ac:dyDescent="0.35">
      <c r="A95" s="4">
        <v>94</v>
      </c>
      <c r="B95" s="3" t="s">
        <v>39</v>
      </c>
      <c r="C95" s="3" t="s">
        <v>1055</v>
      </c>
      <c r="D95" s="3" t="s">
        <v>551</v>
      </c>
      <c r="E95" s="3" t="s">
        <v>1056</v>
      </c>
      <c r="F95" s="3" t="s">
        <v>114</v>
      </c>
      <c r="G95" s="3" t="s">
        <v>891</v>
      </c>
      <c r="H95" s="3" t="s">
        <v>1056</v>
      </c>
      <c r="I95" s="4" t="s">
        <v>1068</v>
      </c>
      <c r="J95" s="3" t="s">
        <v>1069</v>
      </c>
      <c r="K95" s="3" t="s">
        <v>1070</v>
      </c>
      <c r="L95" s="3" t="s">
        <v>1071</v>
      </c>
      <c r="M95" s="3" t="s">
        <v>1072</v>
      </c>
      <c r="N95" s="3" t="s">
        <v>1073</v>
      </c>
      <c r="O95" s="3" t="s">
        <v>1074</v>
      </c>
      <c r="P95" s="3" t="s">
        <v>51</v>
      </c>
      <c r="Q95" s="3" t="s">
        <v>153</v>
      </c>
      <c r="R95" s="3" t="s">
        <v>53</v>
      </c>
      <c r="S95" s="3" t="s">
        <v>1064</v>
      </c>
      <c r="T95" s="3" t="s">
        <v>1075</v>
      </c>
      <c r="U95" s="3" t="s">
        <v>1076</v>
      </c>
      <c r="V95" s="3" t="s">
        <v>1077</v>
      </c>
      <c r="W95" s="3" t="s">
        <v>978</v>
      </c>
      <c r="X95" s="3">
        <f t="shared" si="6"/>
        <v>4</v>
      </c>
      <c r="Y95" s="3" t="s">
        <v>53</v>
      </c>
      <c r="Z95" s="3" t="s">
        <v>53</v>
      </c>
      <c r="AA95" s="3" t="s">
        <v>53</v>
      </c>
      <c r="AB95" s="3" t="str">
        <f t="shared" si="7"/>
        <v>Effective</v>
      </c>
      <c r="AC95" s="3" t="str">
        <f t="shared" si="8"/>
        <v>Medium</v>
      </c>
      <c r="AD95" s="3">
        <f t="shared" si="9"/>
        <v>4</v>
      </c>
      <c r="AE95" s="3">
        <f t="shared" si="10"/>
        <v>4</v>
      </c>
      <c r="AF95" s="3" t="s">
        <v>59</v>
      </c>
      <c r="AG95" s="3"/>
      <c r="AH95" s="3"/>
      <c r="AI95" s="3"/>
      <c r="AJ95" s="3"/>
      <c r="AK95" s="3"/>
      <c r="AL95" s="3" t="s">
        <v>60</v>
      </c>
      <c r="AM95" s="3" t="str">
        <f t="shared" si="11"/>
        <v>Must Have</v>
      </c>
    </row>
    <row r="96" spans="1:39" ht="120" hidden="1" customHeight="1" x14ac:dyDescent="0.35">
      <c r="A96" s="4">
        <v>95</v>
      </c>
      <c r="B96" s="3" t="s">
        <v>39</v>
      </c>
      <c r="C96" s="3" t="s">
        <v>1055</v>
      </c>
      <c r="D96" s="3" t="s">
        <v>551</v>
      </c>
      <c r="E96" s="3" t="s">
        <v>1056</v>
      </c>
      <c r="F96" s="3" t="s">
        <v>114</v>
      </c>
      <c r="G96" s="3" t="s">
        <v>891</v>
      </c>
      <c r="H96" s="3" t="s">
        <v>1056</v>
      </c>
      <c r="I96" s="4" t="s">
        <v>1078</v>
      </c>
      <c r="J96" s="3" t="s">
        <v>1079</v>
      </c>
      <c r="K96" s="3" t="s">
        <v>1080</v>
      </c>
      <c r="L96" s="3" t="s">
        <v>1081</v>
      </c>
      <c r="M96" s="3" t="s">
        <v>1082</v>
      </c>
      <c r="N96" s="3" t="s">
        <v>1083</v>
      </c>
      <c r="O96" s="3" t="s">
        <v>1084</v>
      </c>
      <c r="P96" s="3" t="s">
        <v>51</v>
      </c>
      <c r="Q96" s="3" t="s">
        <v>153</v>
      </c>
      <c r="R96" s="3" t="s">
        <v>53</v>
      </c>
      <c r="S96" s="3" t="s">
        <v>986</v>
      </c>
      <c r="T96" s="3" t="s">
        <v>1085</v>
      </c>
      <c r="U96" s="3" t="s">
        <v>1086</v>
      </c>
      <c r="V96" s="3" t="s">
        <v>1087</v>
      </c>
      <c r="W96" s="3" t="s">
        <v>58</v>
      </c>
      <c r="X96" s="3">
        <f t="shared" si="6"/>
        <v>3</v>
      </c>
      <c r="Y96" s="3" t="s">
        <v>53</v>
      </c>
      <c r="Z96" s="3" t="s">
        <v>53</v>
      </c>
      <c r="AA96" s="3" t="s">
        <v>53</v>
      </c>
      <c r="AB96" s="3" t="str">
        <f t="shared" si="7"/>
        <v>Effective</v>
      </c>
      <c r="AC96" s="3" t="str">
        <f t="shared" si="8"/>
        <v>Low</v>
      </c>
      <c r="AD96" s="3">
        <f t="shared" si="9"/>
        <v>3</v>
      </c>
      <c r="AE96" s="3">
        <f t="shared" si="10"/>
        <v>3</v>
      </c>
      <c r="AF96" s="3" t="s">
        <v>59</v>
      </c>
      <c r="AG96" s="3"/>
      <c r="AH96" s="3"/>
      <c r="AI96" s="3"/>
      <c r="AJ96" s="3"/>
      <c r="AK96" s="3"/>
      <c r="AL96" s="3" t="s">
        <v>60</v>
      </c>
      <c r="AM96" s="3" t="str">
        <f t="shared" si="11"/>
        <v>Must Have</v>
      </c>
    </row>
    <row r="97" spans="1:39" ht="108" hidden="1" customHeight="1" x14ac:dyDescent="0.35">
      <c r="A97" s="4">
        <v>96</v>
      </c>
      <c r="B97" s="3" t="s">
        <v>39</v>
      </c>
      <c r="C97" s="3" t="s">
        <v>1055</v>
      </c>
      <c r="D97" s="3" t="s">
        <v>551</v>
      </c>
      <c r="E97" s="3" t="s">
        <v>1056</v>
      </c>
      <c r="F97" s="3" t="s">
        <v>114</v>
      </c>
      <c r="G97" s="3" t="s">
        <v>891</v>
      </c>
      <c r="H97" s="3" t="s">
        <v>1056</v>
      </c>
      <c r="I97" s="4" t="s">
        <v>1088</v>
      </c>
      <c r="J97" s="3" t="s">
        <v>1089</v>
      </c>
      <c r="K97" s="3" t="s">
        <v>1090</v>
      </c>
      <c r="L97" s="3" t="s">
        <v>1091</v>
      </c>
      <c r="M97" s="3" t="s">
        <v>1092</v>
      </c>
      <c r="N97" s="3" t="s">
        <v>1093</v>
      </c>
      <c r="O97" s="3" t="s">
        <v>1094</v>
      </c>
      <c r="P97" s="3" t="s">
        <v>51</v>
      </c>
      <c r="Q97" s="3" t="s">
        <v>52</v>
      </c>
      <c r="R97" s="3" t="s">
        <v>53</v>
      </c>
      <c r="S97" s="3" t="s">
        <v>1095</v>
      </c>
      <c r="T97" s="3" t="s">
        <v>962</v>
      </c>
      <c r="U97" s="3" t="s">
        <v>1096</v>
      </c>
      <c r="V97" s="3" t="s">
        <v>1097</v>
      </c>
      <c r="W97" s="3" t="s">
        <v>58</v>
      </c>
      <c r="X97" s="3">
        <f t="shared" si="6"/>
        <v>3</v>
      </c>
      <c r="Y97" s="3" t="s">
        <v>53</v>
      </c>
      <c r="Z97" s="3" t="s">
        <v>53</v>
      </c>
      <c r="AA97" s="3" t="s">
        <v>53</v>
      </c>
      <c r="AB97" s="3" t="str">
        <f t="shared" si="7"/>
        <v>Effective</v>
      </c>
      <c r="AC97" s="3" t="str">
        <f t="shared" si="8"/>
        <v>Low</v>
      </c>
      <c r="AD97" s="3">
        <f t="shared" si="9"/>
        <v>3</v>
      </c>
      <c r="AE97" s="3">
        <f t="shared" si="10"/>
        <v>3</v>
      </c>
      <c r="AF97" s="3" t="s">
        <v>59</v>
      </c>
      <c r="AG97" s="3"/>
      <c r="AH97" s="3"/>
      <c r="AI97" s="3"/>
      <c r="AJ97" s="3"/>
      <c r="AK97" s="3"/>
      <c r="AL97" s="3" t="s">
        <v>60</v>
      </c>
      <c r="AM97" s="3" t="str">
        <f t="shared" si="11"/>
        <v>Must Have</v>
      </c>
    </row>
    <row r="98" spans="1:39" ht="120" hidden="1" customHeight="1" x14ac:dyDescent="0.35">
      <c r="A98" s="4">
        <v>97</v>
      </c>
      <c r="B98" s="3" t="s">
        <v>39</v>
      </c>
      <c r="C98" s="3" t="s">
        <v>1055</v>
      </c>
      <c r="D98" s="3" t="s">
        <v>551</v>
      </c>
      <c r="E98" s="3" t="s">
        <v>1056</v>
      </c>
      <c r="F98" s="3" t="s">
        <v>114</v>
      </c>
      <c r="G98" s="3" t="s">
        <v>891</v>
      </c>
      <c r="H98" s="3" t="s">
        <v>1056</v>
      </c>
      <c r="I98" s="4" t="s">
        <v>1098</v>
      </c>
      <c r="J98" s="3" t="s">
        <v>1099</v>
      </c>
      <c r="K98" s="3" t="s">
        <v>1100</v>
      </c>
      <c r="L98" s="3" t="s">
        <v>1101</v>
      </c>
      <c r="M98" s="3" t="s">
        <v>1102</v>
      </c>
      <c r="N98" s="3" t="s">
        <v>1103</v>
      </c>
      <c r="O98" s="3" t="s">
        <v>1104</v>
      </c>
      <c r="P98" s="3" t="s">
        <v>51</v>
      </c>
      <c r="Q98" s="3" t="s">
        <v>153</v>
      </c>
      <c r="R98" s="3" t="s">
        <v>53</v>
      </c>
      <c r="S98" s="3" t="s">
        <v>1105</v>
      </c>
      <c r="T98" s="3" t="s">
        <v>1030</v>
      </c>
      <c r="U98" s="3" t="s">
        <v>1106</v>
      </c>
      <c r="V98" s="3" t="s">
        <v>1107</v>
      </c>
      <c r="W98" s="3" t="s">
        <v>978</v>
      </c>
      <c r="X98" s="3">
        <f t="shared" si="6"/>
        <v>4</v>
      </c>
      <c r="Y98" s="3" t="s">
        <v>53</v>
      </c>
      <c r="Z98" s="3" t="s">
        <v>53</v>
      </c>
      <c r="AA98" s="3" t="s">
        <v>53</v>
      </c>
      <c r="AB98" s="3" t="str">
        <f t="shared" si="7"/>
        <v>Effective</v>
      </c>
      <c r="AC98" s="3" t="str">
        <f t="shared" si="8"/>
        <v>Medium</v>
      </c>
      <c r="AD98" s="3">
        <f t="shared" si="9"/>
        <v>4</v>
      </c>
      <c r="AE98" s="3">
        <f t="shared" si="10"/>
        <v>4</v>
      </c>
      <c r="AF98" s="3" t="s">
        <v>59</v>
      </c>
      <c r="AG98" s="3"/>
      <c r="AH98" s="3"/>
      <c r="AI98" s="3"/>
      <c r="AJ98" s="3"/>
      <c r="AK98" s="3"/>
      <c r="AL98" s="3" t="s">
        <v>60</v>
      </c>
      <c r="AM98" s="3" t="str">
        <f t="shared" si="11"/>
        <v>Must Have</v>
      </c>
    </row>
    <row r="99" spans="1:39" ht="108" hidden="1" customHeight="1" x14ac:dyDescent="0.35">
      <c r="A99" s="4">
        <v>98</v>
      </c>
      <c r="B99" s="3" t="s">
        <v>39</v>
      </c>
      <c r="C99" s="3" t="s">
        <v>1055</v>
      </c>
      <c r="D99" s="3" t="s">
        <v>551</v>
      </c>
      <c r="E99" s="3" t="s">
        <v>1056</v>
      </c>
      <c r="F99" s="3" t="s">
        <v>114</v>
      </c>
      <c r="G99" s="3" t="s">
        <v>891</v>
      </c>
      <c r="H99" s="3" t="s">
        <v>1056</v>
      </c>
      <c r="I99" s="4" t="s">
        <v>1108</v>
      </c>
      <c r="J99" s="3" t="s">
        <v>1109</v>
      </c>
      <c r="K99" s="3" t="s">
        <v>1110</v>
      </c>
      <c r="L99" s="3" t="s">
        <v>1111</v>
      </c>
      <c r="M99" s="3" t="s">
        <v>1112</v>
      </c>
      <c r="N99" s="3" t="s">
        <v>1113</v>
      </c>
      <c r="O99" s="3" t="s">
        <v>1114</v>
      </c>
      <c r="P99" s="3" t="s">
        <v>51</v>
      </c>
      <c r="Q99" s="3" t="s">
        <v>52</v>
      </c>
      <c r="R99" s="3" t="s">
        <v>154</v>
      </c>
      <c r="S99" s="3" t="s">
        <v>1115</v>
      </c>
      <c r="T99" s="3" t="s">
        <v>1085</v>
      </c>
      <c r="U99" s="3" t="s">
        <v>1116</v>
      </c>
      <c r="V99" s="3" t="s">
        <v>1117</v>
      </c>
      <c r="W99" s="3" t="s">
        <v>58</v>
      </c>
      <c r="X99" s="3">
        <f t="shared" si="6"/>
        <v>3</v>
      </c>
      <c r="Y99" s="3" t="s">
        <v>53</v>
      </c>
      <c r="Z99" s="3" t="s">
        <v>53</v>
      </c>
      <c r="AA99" s="3" t="s">
        <v>53</v>
      </c>
      <c r="AB99" s="3" t="str">
        <f t="shared" si="7"/>
        <v>Effective</v>
      </c>
      <c r="AC99" s="3" t="str">
        <f t="shared" si="8"/>
        <v>Low</v>
      </c>
      <c r="AD99" s="3">
        <f t="shared" si="9"/>
        <v>3</v>
      </c>
      <c r="AE99" s="3">
        <f t="shared" si="10"/>
        <v>3</v>
      </c>
      <c r="AF99" s="3" t="s">
        <v>59</v>
      </c>
      <c r="AG99" s="3"/>
      <c r="AH99" s="3"/>
      <c r="AI99" s="3"/>
      <c r="AJ99" s="3"/>
      <c r="AK99" s="3"/>
      <c r="AL99" s="3" t="s">
        <v>60</v>
      </c>
      <c r="AM99" s="3" t="str">
        <f t="shared" si="11"/>
        <v>Should Have</v>
      </c>
    </row>
    <row r="100" spans="1:39" ht="120" hidden="1" customHeight="1" x14ac:dyDescent="0.35">
      <c r="A100" s="4">
        <v>99</v>
      </c>
      <c r="B100" s="3" t="s">
        <v>39</v>
      </c>
      <c r="C100" s="3" t="s">
        <v>1118</v>
      </c>
      <c r="D100" s="3" t="s">
        <v>365</v>
      </c>
      <c r="E100" s="3" t="s">
        <v>1119</v>
      </c>
      <c r="F100" s="3" t="s">
        <v>114</v>
      </c>
      <c r="G100" s="3" t="s">
        <v>891</v>
      </c>
      <c r="H100" s="3" t="s">
        <v>1119</v>
      </c>
      <c r="I100" s="4" t="s">
        <v>1120</v>
      </c>
      <c r="J100" s="3" t="s">
        <v>1121</v>
      </c>
      <c r="K100" s="3" t="s">
        <v>1122</v>
      </c>
      <c r="L100" s="3" t="s">
        <v>1123</v>
      </c>
      <c r="M100" s="3" t="s">
        <v>1124</v>
      </c>
      <c r="N100" s="3" t="s">
        <v>1125</v>
      </c>
      <c r="O100" s="3" t="s">
        <v>1126</v>
      </c>
      <c r="P100" s="3" t="s">
        <v>51</v>
      </c>
      <c r="Q100" s="3" t="s">
        <v>153</v>
      </c>
      <c r="R100" s="3" t="s">
        <v>53</v>
      </c>
      <c r="S100" s="3" t="s">
        <v>1127</v>
      </c>
      <c r="T100" s="3" t="s">
        <v>68</v>
      </c>
      <c r="U100" s="3" t="s">
        <v>1128</v>
      </c>
      <c r="V100" s="3" t="s">
        <v>1129</v>
      </c>
      <c r="W100" s="3" t="s">
        <v>58</v>
      </c>
      <c r="X100" s="3">
        <f t="shared" si="6"/>
        <v>3</v>
      </c>
      <c r="Y100" s="3" t="s">
        <v>53</v>
      </c>
      <c r="Z100" s="3" t="s">
        <v>53</v>
      </c>
      <c r="AA100" s="3" t="s">
        <v>53</v>
      </c>
      <c r="AB100" s="3" t="str">
        <f t="shared" si="7"/>
        <v>Effective</v>
      </c>
      <c r="AC100" s="3" t="str">
        <f t="shared" si="8"/>
        <v>Low</v>
      </c>
      <c r="AD100" s="3">
        <f t="shared" si="9"/>
        <v>3</v>
      </c>
      <c r="AE100" s="3">
        <f t="shared" si="10"/>
        <v>3</v>
      </c>
      <c r="AF100" s="3" t="s">
        <v>59</v>
      </c>
      <c r="AG100" s="3"/>
      <c r="AH100" s="3"/>
      <c r="AI100" s="3"/>
      <c r="AJ100" s="3"/>
      <c r="AK100" s="3"/>
      <c r="AL100" s="3" t="s">
        <v>60</v>
      </c>
      <c r="AM100" s="3" t="str">
        <f t="shared" si="11"/>
        <v>Must Have</v>
      </c>
    </row>
    <row r="101" spans="1:39" ht="120" customHeight="1" x14ac:dyDescent="0.35">
      <c r="A101" s="4">
        <v>100</v>
      </c>
      <c r="B101" s="3" t="s">
        <v>39</v>
      </c>
      <c r="C101" s="3" t="s">
        <v>1118</v>
      </c>
      <c r="D101" s="3" t="s">
        <v>365</v>
      </c>
      <c r="E101" s="3" t="s">
        <v>1119</v>
      </c>
      <c r="F101" s="3" t="s">
        <v>42</v>
      </c>
      <c r="G101" s="3" t="s">
        <v>1130</v>
      </c>
      <c r="H101" s="3" t="s">
        <v>1119</v>
      </c>
      <c r="I101" s="4" t="s">
        <v>1131</v>
      </c>
      <c r="J101" s="3" t="s">
        <v>1132</v>
      </c>
      <c r="K101" s="3" t="s">
        <v>1133</v>
      </c>
      <c r="L101" s="3" t="s">
        <v>1134</v>
      </c>
      <c r="M101" s="3" t="s">
        <v>1135</v>
      </c>
      <c r="N101" s="3" t="s">
        <v>1136</v>
      </c>
      <c r="O101" s="3" t="s">
        <v>1137</v>
      </c>
      <c r="P101" s="3" t="s">
        <v>122</v>
      </c>
      <c r="Q101" s="3" t="s">
        <v>52</v>
      </c>
      <c r="R101" s="3" t="s">
        <v>53</v>
      </c>
      <c r="S101" s="3" t="s">
        <v>1138</v>
      </c>
      <c r="T101" s="3" t="s">
        <v>1139</v>
      </c>
      <c r="U101" s="3" t="s">
        <v>1140</v>
      </c>
      <c r="V101" s="3" t="s">
        <v>1141</v>
      </c>
      <c r="W101" s="3" t="s">
        <v>978</v>
      </c>
      <c r="X101" s="3">
        <f t="shared" si="6"/>
        <v>4</v>
      </c>
      <c r="Y101" s="3" t="s">
        <v>53</v>
      </c>
      <c r="Z101" s="3" t="s">
        <v>53</v>
      </c>
      <c r="AA101" s="3" t="s">
        <v>53</v>
      </c>
      <c r="AB101" s="3" t="str">
        <f t="shared" si="7"/>
        <v>Effective</v>
      </c>
      <c r="AC101" s="3" t="str">
        <f t="shared" si="8"/>
        <v>Medium</v>
      </c>
      <c r="AD101" s="3">
        <f t="shared" si="9"/>
        <v>4</v>
      </c>
      <c r="AE101" s="3">
        <f t="shared" si="10"/>
        <v>4</v>
      </c>
      <c r="AF101" s="3" t="s">
        <v>59</v>
      </c>
      <c r="AG101" s="3"/>
      <c r="AH101" s="3"/>
      <c r="AI101" s="3"/>
      <c r="AJ101" s="3"/>
      <c r="AK101" s="3"/>
      <c r="AL101" s="3" t="s">
        <v>60</v>
      </c>
      <c r="AM101" s="3" t="str">
        <f t="shared" si="11"/>
        <v>Must Have</v>
      </c>
    </row>
    <row r="102" spans="1:39" ht="108" hidden="1" customHeight="1" x14ac:dyDescent="0.35">
      <c r="A102" s="4">
        <v>101</v>
      </c>
      <c r="B102" s="3" t="s">
        <v>39</v>
      </c>
      <c r="C102" s="3" t="s">
        <v>1118</v>
      </c>
      <c r="D102" s="3" t="s">
        <v>365</v>
      </c>
      <c r="E102" s="3" t="s">
        <v>1119</v>
      </c>
      <c r="F102" s="3" t="s">
        <v>114</v>
      </c>
      <c r="G102" s="3" t="s">
        <v>891</v>
      </c>
      <c r="H102" s="3" t="s">
        <v>1119</v>
      </c>
      <c r="I102" s="4" t="s">
        <v>1142</v>
      </c>
      <c r="J102" s="3" t="s">
        <v>1143</v>
      </c>
      <c r="K102" s="3" t="s">
        <v>1144</v>
      </c>
      <c r="L102" s="3" t="s">
        <v>1145</v>
      </c>
      <c r="M102" s="3" t="s">
        <v>1146</v>
      </c>
      <c r="N102" s="3" t="s">
        <v>1147</v>
      </c>
      <c r="O102" s="3" t="s">
        <v>1148</v>
      </c>
      <c r="P102" s="3" t="s">
        <v>122</v>
      </c>
      <c r="Q102" s="3" t="s">
        <v>52</v>
      </c>
      <c r="R102" s="3" t="s">
        <v>53</v>
      </c>
      <c r="S102" s="3" t="s">
        <v>1149</v>
      </c>
      <c r="T102" s="3" t="s">
        <v>920</v>
      </c>
      <c r="U102" s="3" t="s">
        <v>1150</v>
      </c>
      <c r="V102" s="3" t="s">
        <v>1151</v>
      </c>
      <c r="W102" s="3" t="s">
        <v>978</v>
      </c>
      <c r="X102" s="3">
        <f t="shared" si="6"/>
        <v>4</v>
      </c>
      <c r="Y102" s="3" t="s">
        <v>53</v>
      </c>
      <c r="Z102" s="3" t="s">
        <v>53</v>
      </c>
      <c r="AA102" s="3" t="s">
        <v>53</v>
      </c>
      <c r="AB102" s="3" t="str">
        <f t="shared" si="7"/>
        <v>Effective</v>
      </c>
      <c r="AC102" s="3" t="str">
        <f t="shared" si="8"/>
        <v>Medium</v>
      </c>
      <c r="AD102" s="3">
        <f t="shared" si="9"/>
        <v>4</v>
      </c>
      <c r="AE102" s="3">
        <f t="shared" si="10"/>
        <v>4</v>
      </c>
      <c r="AF102" s="3" t="s">
        <v>59</v>
      </c>
      <c r="AG102" s="3"/>
      <c r="AH102" s="3"/>
      <c r="AI102" s="3"/>
      <c r="AJ102" s="3"/>
      <c r="AK102" s="3"/>
      <c r="AL102" s="3" t="s">
        <v>60</v>
      </c>
      <c r="AM102" s="3" t="str">
        <f t="shared" si="11"/>
        <v>Must Have</v>
      </c>
    </row>
    <row r="103" spans="1:39" ht="120" hidden="1" customHeight="1" x14ac:dyDescent="0.35">
      <c r="A103" s="4">
        <v>102</v>
      </c>
      <c r="B103" s="3" t="s">
        <v>39</v>
      </c>
      <c r="C103" s="3" t="s">
        <v>1118</v>
      </c>
      <c r="D103" s="3" t="s">
        <v>365</v>
      </c>
      <c r="E103" s="3" t="s">
        <v>1119</v>
      </c>
      <c r="F103" s="3" t="s">
        <v>114</v>
      </c>
      <c r="G103" s="3" t="s">
        <v>891</v>
      </c>
      <c r="H103" s="3" t="s">
        <v>1119</v>
      </c>
      <c r="I103" s="4" t="s">
        <v>1152</v>
      </c>
      <c r="J103" s="3" t="s">
        <v>1153</v>
      </c>
      <c r="K103" s="3" t="s">
        <v>1154</v>
      </c>
      <c r="L103" s="3" t="s">
        <v>1155</v>
      </c>
      <c r="M103" s="3" t="s">
        <v>1156</v>
      </c>
      <c r="N103" s="3" t="s">
        <v>1157</v>
      </c>
      <c r="O103" s="3" t="s">
        <v>1158</v>
      </c>
      <c r="P103" s="3" t="s">
        <v>122</v>
      </c>
      <c r="Q103" s="3" t="s">
        <v>52</v>
      </c>
      <c r="R103" s="3" t="s">
        <v>53</v>
      </c>
      <c r="S103" s="3" t="s">
        <v>1159</v>
      </c>
      <c r="T103" s="3" t="s">
        <v>1160</v>
      </c>
      <c r="U103" s="3" t="s">
        <v>1161</v>
      </c>
      <c r="V103" s="3" t="s">
        <v>1162</v>
      </c>
      <c r="W103" s="3" t="s">
        <v>58</v>
      </c>
      <c r="X103" s="3">
        <f t="shared" si="6"/>
        <v>3</v>
      </c>
      <c r="Y103" s="3" t="s">
        <v>53</v>
      </c>
      <c r="Z103" s="3" t="s">
        <v>53</v>
      </c>
      <c r="AA103" s="3" t="s">
        <v>53</v>
      </c>
      <c r="AB103" s="3" t="str">
        <f t="shared" si="7"/>
        <v>Effective</v>
      </c>
      <c r="AC103" s="3" t="str">
        <f t="shared" si="8"/>
        <v>Low</v>
      </c>
      <c r="AD103" s="3">
        <f t="shared" si="9"/>
        <v>3</v>
      </c>
      <c r="AE103" s="3">
        <f t="shared" si="10"/>
        <v>3</v>
      </c>
      <c r="AF103" s="3" t="s">
        <v>59</v>
      </c>
      <c r="AG103" s="3"/>
      <c r="AH103" s="3"/>
      <c r="AI103" s="3"/>
      <c r="AJ103" s="3"/>
      <c r="AK103" s="3"/>
      <c r="AL103" s="3" t="s">
        <v>60</v>
      </c>
      <c r="AM103" s="3" t="str">
        <f t="shared" si="11"/>
        <v>Must Have</v>
      </c>
    </row>
    <row r="104" spans="1:39" ht="120" hidden="1" customHeight="1" x14ac:dyDescent="0.35">
      <c r="A104" s="4">
        <v>103</v>
      </c>
      <c r="B104" s="3" t="s">
        <v>39</v>
      </c>
      <c r="C104" s="3" t="s">
        <v>1118</v>
      </c>
      <c r="D104" s="3" t="s">
        <v>365</v>
      </c>
      <c r="E104" s="3" t="s">
        <v>1119</v>
      </c>
      <c r="F104" s="3" t="s">
        <v>42</v>
      </c>
      <c r="G104" s="3" t="s">
        <v>891</v>
      </c>
      <c r="H104" s="3" t="s">
        <v>1119</v>
      </c>
      <c r="I104" s="4" t="s">
        <v>1163</v>
      </c>
      <c r="J104" s="3" t="s">
        <v>1164</v>
      </c>
      <c r="K104" s="3" t="s">
        <v>1165</v>
      </c>
      <c r="L104" s="3" t="s">
        <v>1166</v>
      </c>
      <c r="M104" s="3" t="s">
        <v>1167</v>
      </c>
      <c r="N104" s="3" t="s">
        <v>1168</v>
      </c>
      <c r="O104" s="3" t="s">
        <v>1169</v>
      </c>
      <c r="P104" s="3" t="s">
        <v>122</v>
      </c>
      <c r="Q104" s="3" t="s">
        <v>52</v>
      </c>
      <c r="R104" s="3" t="s">
        <v>53</v>
      </c>
      <c r="S104" s="3" t="s">
        <v>1170</v>
      </c>
      <c r="T104" s="3" t="s">
        <v>1139</v>
      </c>
      <c r="U104" s="3" t="s">
        <v>1171</v>
      </c>
      <c r="V104" s="3" t="s">
        <v>1172</v>
      </c>
      <c r="W104" s="3" t="s">
        <v>58</v>
      </c>
      <c r="X104" s="3">
        <f t="shared" si="6"/>
        <v>3</v>
      </c>
      <c r="Y104" s="3" t="s">
        <v>53</v>
      </c>
      <c r="Z104" s="3" t="s">
        <v>53</v>
      </c>
      <c r="AA104" s="3" t="s">
        <v>53</v>
      </c>
      <c r="AB104" s="3" t="str">
        <f t="shared" si="7"/>
        <v>Effective</v>
      </c>
      <c r="AC104" s="3" t="str">
        <f t="shared" si="8"/>
        <v>Low</v>
      </c>
      <c r="AD104" s="3">
        <f t="shared" si="9"/>
        <v>3</v>
      </c>
      <c r="AE104" s="3">
        <f t="shared" si="10"/>
        <v>3</v>
      </c>
      <c r="AF104" s="3" t="s">
        <v>59</v>
      </c>
      <c r="AG104" s="3"/>
      <c r="AH104" s="3"/>
      <c r="AI104" s="3"/>
      <c r="AJ104" s="3"/>
      <c r="AK104" s="3"/>
      <c r="AL104" s="3" t="s">
        <v>60</v>
      </c>
      <c r="AM104" s="3" t="str">
        <f t="shared" si="11"/>
        <v>Must Have</v>
      </c>
    </row>
    <row r="105" spans="1:39" ht="108" hidden="1" customHeight="1" x14ac:dyDescent="0.35">
      <c r="A105" s="4">
        <v>104</v>
      </c>
      <c r="B105" s="3" t="s">
        <v>39</v>
      </c>
      <c r="C105" s="3" t="s">
        <v>1118</v>
      </c>
      <c r="D105" s="3" t="s">
        <v>365</v>
      </c>
      <c r="E105" s="3" t="s">
        <v>1119</v>
      </c>
      <c r="F105" s="3" t="s">
        <v>42</v>
      </c>
      <c r="G105" s="3" t="s">
        <v>891</v>
      </c>
      <c r="H105" s="3" t="s">
        <v>1119</v>
      </c>
      <c r="I105" s="4" t="s">
        <v>1173</v>
      </c>
      <c r="J105" s="3" t="s">
        <v>1174</v>
      </c>
      <c r="K105" s="3" t="s">
        <v>1175</v>
      </c>
      <c r="L105" s="3" t="s">
        <v>1176</v>
      </c>
      <c r="M105" s="3" t="s">
        <v>1177</v>
      </c>
      <c r="N105" s="3" t="s">
        <v>1178</v>
      </c>
      <c r="O105" s="3" t="s">
        <v>1179</v>
      </c>
      <c r="P105" s="3" t="s">
        <v>206</v>
      </c>
      <c r="Q105" s="3" t="s">
        <v>52</v>
      </c>
      <c r="R105" s="3" t="s">
        <v>53</v>
      </c>
      <c r="S105" s="3" t="s">
        <v>1138</v>
      </c>
      <c r="T105" s="3" t="s">
        <v>1139</v>
      </c>
      <c r="U105" s="3" t="s">
        <v>1180</v>
      </c>
      <c r="V105" s="3" t="s">
        <v>1181</v>
      </c>
      <c r="W105" s="3" t="s">
        <v>58</v>
      </c>
      <c r="X105" s="3">
        <f t="shared" si="6"/>
        <v>3</v>
      </c>
      <c r="Y105" s="3" t="s">
        <v>53</v>
      </c>
      <c r="Z105" s="3" t="s">
        <v>53</v>
      </c>
      <c r="AA105" s="3" t="s">
        <v>53</v>
      </c>
      <c r="AB105" s="3" t="str">
        <f t="shared" si="7"/>
        <v>Effective</v>
      </c>
      <c r="AC105" s="3" t="str">
        <f t="shared" si="8"/>
        <v>Low</v>
      </c>
      <c r="AD105" s="3">
        <f t="shared" si="9"/>
        <v>3</v>
      </c>
      <c r="AE105" s="3">
        <f t="shared" si="10"/>
        <v>3</v>
      </c>
      <c r="AF105" s="3" t="s">
        <v>59</v>
      </c>
      <c r="AG105" s="3"/>
      <c r="AH105" s="3"/>
      <c r="AI105" s="3"/>
      <c r="AJ105" s="3"/>
      <c r="AK105" s="3"/>
      <c r="AL105" s="3" t="s">
        <v>60</v>
      </c>
      <c r="AM105" s="3" t="str">
        <f t="shared" si="11"/>
        <v>Must Have</v>
      </c>
    </row>
    <row r="106" spans="1:39" ht="120" hidden="1" customHeight="1" x14ac:dyDescent="0.35">
      <c r="A106" s="4">
        <v>105</v>
      </c>
      <c r="B106" s="3" t="s">
        <v>39</v>
      </c>
      <c r="C106" s="3" t="s">
        <v>1182</v>
      </c>
      <c r="D106" s="3" t="s">
        <v>551</v>
      </c>
      <c r="E106" s="3" t="s">
        <v>1183</v>
      </c>
      <c r="F106" s="3" t="s">
        <v>114</v>
      </c>
      <c r="G106" s="3" t="s">
        <v>891</v>
      </c>
      <c r="H106" s="3" t="s">
        <v>1183</v>
      </c>
      <c r="I106" s="4" t="s">
        <v>1184</v>
      </c>
      <c r="J106" s="3" t="s">
        <v>1185</v>
      </c>
      <c r="K106" s="3" t="s">
        <v>1186</v>
      </c>
      <c r="L106" s="3" t="s">
        <v>1187</v>
      </c>
      <c r="M106" s="3" t="s">
        <v>1188</v>
      </c>
      <c r="N106" s="3" t="s">
        <v>1189</v>
      </c>
      <c r="O106" s="3" t="s">
        <v>1190</v>
      </c>
      <c r="P106" s="3" t="s">
        <v>122</v>
      </c>
      <c r="Q106" s="3" t="s">
        <v>153</v>
      </c>
      <c r="R106" s="3" t="s">
        <v>53</v>
      </c>
      <c r="S106" s="3" t="s">
        <v>1191</v>
      </c>
      <c r="T106" s="3" t="s">
        <v>1192</v>
      </c>
      <c r="U106" s="3" t="s">
        <v>1193</v>
      </c>
      <c r="V106" s="3" t="s">
        <v>1194</v>
      </c>
      <c r="W106" s="3" t="s">
        <v>58</v>
      </c>
      <c r="X106" s="3">
        <f t="shared" si="6"/>
        <v>3</v>
      </c>
      <c r="Y106" s="3" t="s">
        <v>53</v>
      </c>
      <c r="Z106" s="3" t="s">
        <v>53</v>
      </c>
      <c r="AA106" s="3" t="s">
        <v>53</v>
      </c>
      <c r="AB106" s="3" t="str">
        <f t="shared" si="7"/>
        <v>Effective</v>
      </c>
      <c r="AC106" s="3" t="str">
        <f t="shared" si="8"/>
        <v>Low</v>
      </c>
      <c r="AD106" s="3">
        <f t="shared" si="9"/>
        <v>3</v>
      </c>
      <c r="AE106" s="3">
        <f t="shared" si="10"/>
        <v>3</v>
      </c>
      <c r="AF106" s="3" t="s">
        <v>59</v>
      </c>
      <c r="AG106" s="3"/>
      <c r="AH106" s="3"/>
      <c r="AI106" s="3"/>
      <c r="AJ106" s="3"/>
      <c r="AK106" s="3"/>
      <c r="AL106" s="3" t="s">
        <v>60</v>
      </c>
      <c r="AM106" s="3" t="str">
        <f t="shared" si="11"/>
        <v>Must Have</v>
      </c>
    </row>
    <row r="107" spans="1:39" ht="120" hidden="1" customHeight="1" x14ac:dyDescent="0.35">
      <c r="A107" s="4">
        <v>106</v>
      </c>
      <c r="B107" s="3" t="s">
        <v>39</v>
      </c>
      <c r="C107" s="3" t="s">
        <v>1182</v>
      </c>
      <c r="D107" s="3" t="s">
        <v>551</v>
      </c>
      <c r="E107" s="3" t="s">
        <v>1183</v>
      </c>
      <c r="F107" s="3" t="s">
        <v>114</v>
      </c>
      <c r="G107" s="3" t="s">
        <v>891</v>
      </c>
      <c r="H107" s="3" t="s">
        <v>1183</v>
      </c>
      <c r="I107" s="4" t="s">
        <v>1195</v>
      </c>
      <c r="J107" s="3" t="s">
        <v>1196</v>
      </c>
      <c r="K107" s="3" t="s">
        <v>1197</v>
      </c>
      <c r="L107" s="3" t="s">
        <v>1198</v>
      </c>
      <c r="M107" s="3" t="s">
        <v>1199</v>
      </c>
      <c r="N107" s="3" t="s">
        <v>1200</v>
      </c>
      <c r="O107" s="3" t="s">
        <v>1201</v>
      </c>
      <c r="P107" s="3" t="s">
        <v>51</v>
      </c>
      <c r="Q107" s="3" t="s">
        <v>52</v>
      </c>
      <c r="R107" s="3" t="s">
        <v>53</v>
      </c>
      <c r="S107" s="3" t="s">
        <v>1202</v>
      </c>
      <c r="T107" s="3" t="s">
        <v>1203</v>
      </c>
      <c r="U107" s="3" t="s">
        <v>1204</v>
      </c>
      <c r="V107" s="3" t="s">
        <v>1205</v>
      </c>
      <c r="W107" s="3" t="s">
        <v>58</v>
      </c>
      <c r="X107" s="3">
        <f t="shared" si="6"/>
        <v>3</v>
      </c>
      <c r="Y107" s="3" t="s">
        <v>53</v>
      </c>
      <c r="Z107" s="3" t="s">
        <v>53</v>
      </c>
      <c r="AA107" s="3" t="s">
        <v>53</v>
      </c>
      <c r="AB107" s="3" t="str">
        <f t="shared" si="7"/>
        <v>Effective</v>
      </c>
      <c r="AC107" s="3" t="str">
        <f t="shared" si="8"/>
        <v>Low</v>
      </c>
      <c r="AD107" s="3">
        <f t="shared" si="9"/>
        <v>3</v>
      </c>
      <c r="AE107" s="3">
        <f t="shared" si="10"/>
        <v>3</v>
      </c>
      <c r="AF107" s="3" t="s">
        <v>59</v>
      </c>
      <c r="AG107" s="3"/>
      <c r="AH107" s="3"/>
      <c r="AI107" s="3"/>
      <c r="AJ107" s="3"/>
      <c r="AK107" s="3"/>
      <c r="AL107" s="3" t="s">
        <v>60</v>
      </c>
      <c r="AM107" s="3" t="str">
        <f t="shared" si="11"/>
        <v>Must Have</v>
      </c>
    </row>
    <row r="108" spans="1:39" ht="120" hidden="1" customHeight="1" x14ac:dyDescent="0.35">
      <c r="A108" s="4">
        <v>107</v>
      </c>
      <c r="B108" s="3" t="s">
        <v>39</v>
      </c>
      <c r="C108" s="3" t="s">
        <v>1182</v>
      </c>
      <c r="D108" s="3" t="s">
        <v>551</v>
      </c>
      <c r="E108" s="3" t="s">
        <v>1183</v>
      </c>
      <c r="F108" s="3" t="s">
        <v>114</v>
      </c>
      <c r="G108" s="3" t="s">
        <v>891</v>
      </c>
      <c r="H108" s="3" t="s">
        <v>1183</v>
      </c>
      <c r="I108" s="4" t="s">
        <v>1206</v>
      </c>
      <c r="J108" s="3" t="s">
        <v>1207</v>
      </c>
      <c r="K108" s="3" t="s">
        <v>1208</v>
      </c>
      <c r="L108" s="3" t="s">
        <v>1209</v>
      </c>
      <c r="M108" s="3" t="s">
        <v>1210</v>
      </c>
      <c r="N108" s="3" t="s">
        <v>1211</v>
      </c>
      <c r="O108" s="3" t="s">
        <v>1212</v>
      </c>
      <c r="P108" s="3" t="s">
        <v>51</v>
      </c>
      <c r="Q108" s="3" t="s">
        <v>52</v>
      </c>
      <c r="R108" s="3" t="s">
        <v>154</v>
      </c>
      <c r="S108" s="3" t="s">
        <v>1213</v>
      </c>
      <c r="T108" s="3" t="s">
        <v>1214</v>
      </c>
      <c r="U108" s="3" t="s">
        <v>1215</v>
      </c>
      <c r="V108" s="3" t="s">
        <v>1216</v>
      </c>
      <c r="W108" s="3" t="s">
        <v>159</v>
      </c>
      <c r="X108" s="3">
        <f t="shared" si="6"/>
        <v>2</v>
      </c>
      <c r="Y108" s="3" t="s">
        <v>53</v>
      </c>
      <c r="Z108" s="3" t="s">
        <v>53</v>
      </c>
      <c r="AA108" s="3" t="s">
        <v>53</v>
      </c>
      <c r="AB108" s="3" t="str">
        <f t="shared" si="7"/>
        <v>Effective</v>
      </c>
      <c r="AC108" s="3" t="str">
        <f t="shared" si="8"/>
        <v>Low</v>
      </c>
      <c r="AD108" s="3">
        <f t="shared" si="9"/>
        <v>2</v>
      </c>
      <c r="AE108" s="3">
        <f t="shared" si="10"/>
        <v>2</v>
      </c>
      <c r="AF108" s="3" t="s">
        <v>59</v>
      </c>
      <c r="AG108" s="3"/>
      <c r="AH108" s="3"/>
      <c r="AI108" s="3"/>
      <c r="AJ108" s="3"/>
      <c r="AK108" s="3"/>
      <c r="AL108" s="3" t="s">
        <v>60</v>
      </c>
      <c r="AM108" s="3" t="str">
        <f t="shared" si="11"/>
        <v>Should Have</v>
      </c>
    </row>
    <row r="109" spans="1:39" ht="108" hidden="1" customHeight="1" x14ac:dyDescent="0.35">
      <c r="A109" s="4">
        <v>108</v>
      </c>
      <c r="B109" s="3" t="s">
        <v>39</v>
      </c>
      <c r="C109" s="3" t="s">
        <v>1182</v>
      </c>
      <c r="D109" s="3" t="s">
        <v>551</v>
      </c>
      <c r="E109" s="3" t="s">
        <v>1183</v>
      </c>
      <c r="F109" s="3" t="s">
        <v>114</v>
      </c>
      <c r="G109" s="3" t="s">
        <v>891</v>
      </c>
      <c r="H109" s="3" t="s">
        <v>1183</v>
      </c>
      <c r="I109" s="4" t="s">
        <v>1184</v>
      </c>
      <c r="J109" s="3" t="s">
        <v>1217</v>
      </c>
      <c r="K109" s="3" t="s">
        <v>1218</v>
      </c>
      <c r="L109" s="3" t="s">
        <v>1219</v>
      </c>
      <c r="M109" s="3" t="s">
        <v>1220</v>
      </c>
      <c r="N109" s="3" t="s">
        <v>1221</v>
      </c>
      <c r="O109" s="3" t="s">
        <v>1222</v>
      </c>
      <c r="P109" s="3" t="s">
        <v>122</v>
      </c>
      <c r="Q109" s="3" t="s">
        <v>153</v>
      </c>
      <c r="R109" s="3" t="s">
        <v>53</v>
      </c>
      <c r="S109" s="3" t="s">
        <v>1223</v>
      </c>
      <c r="T109" s="3" t="s">
        <v>68</v>
      </c>
      <c r="U109" s="3" t="s">
        <v>1224</v>
      </c>
      <c r="V109" s="3" t="s">
        <v>1225</v>
      </c>
      <c r="W109" s="3" t="s">
        <v>58</v>
      </c>
      <c r="X109" s="3">
        <f t="shared" si="6"/>
        <v>3</v>
      </c>
      <c r="Y109" s="3" t="s">
        <v>53</v>
      </c>
      <c r="Z109" s="3" t="s">
        <v>53</v>
      </c>
      <c r="AA109" s="3" t="s">
        <v>53</v>
      </c>
      <c r="AB109" s="3" t="str">
        <f t="shared" si="7"/>
        <v>Effective</v>
      </c>
      <c r="AC109" s="3" t="str">
        <f t="shared" si="8"/>
        <v>Low</v>
      </c>
      <c r="AD109" s="3">
        <f t="shared" si="9"/>
        <v>3</v>
      </c>
      <c r="AE109" s="3">
        <f t="shared" si="10"/>
        <v>3</v>
      </c>
      <c r="AF109" s="3" t="s">
        <v>59</v>
      </c>
      <c r="AG109" s="3"/>
      <c r="AH109" s="3"/>
      <c r="AI109" s="3"/>
      <c r="AJ109" s="3"/>
      <c r="AK109" s="3"/>
      <c r="AL109" s="3" t="s">
        <v>60</v>
      </c>
      <c r="AM109" s="3" t="str">
        <f t="shared" si="11"/>
        <v>Must Have</v>
      </c>
    </row>
    <row r="110" spans="1:39" ht="120" customHeight="1" x14ac:dyDescent="0.35">
      <c r="A110" s="4">
        <v>109</v>
      </c>
      <c r="B110" s="3" t="s">
        <v>39</v>
      </c>
      <c r="C110" s="3" t="s">
        <v>1226</v>
      </c>
      <c r="D110" s="3" t="s">
        <v>551</v>
      </c>
      <c r="E110" s="3" t="s">
        <v>1227</v>
      </c>
      <c r="F110" s="3" t="s">
        <v>114</v>
      </c>
      <c r="G110" s="3" t="s">
        <v>1228</v>
      </c>
      <c r="H110" s="3" t="s">
        <v>1227</v>
      </c>
      <c r="I110" s="4" t="s">
        <v>1229</v>
      </c>
      <c r="J110" s="3" t="s">
        <v>1230</v>
      </c>
      <c r="K110" s="3" t="s">
        <v>1231</v>
      </c>
      <c r="L110" s="3" t="s">
        <v>1232</v>
      </c>
      <c r="M110" s="3" t="s">
        <v>1233</v>
      </c>
      <c r="N110" s="3" t="s">
        <v>1234</v>
      </c>
      <c r="O110" s="3" t="s">
        <v>1235</v>
      </c>
      <c r="P110" s="3" t="s">
        <v>51</v>
      </c>
      <c r="Q110" s="3" t="s">
        <v>153</v>
      </c>
      <c r="R110" s="3" t="s">
        <v>53</v>
      </c>
      <c r="S110" s="3" t="s">
        <v>1236</v>
      </c>
      <c r="T110" s="3" t="s">
        <v>1237</v>
      </c>
      <c r="U110" s="3" t="s">
        <v>1238</v>
      </c>
      <c r="V110" s="3" t="s">
        <v>1239</v>
      </c>
      <c r="W110" s="3" t="s">
        <v>58</v>
      </c>
      <c r="X110" s="3">
        <f t="shared" si="6"/>
        <v>3</v>
      </c>
      <c r="Y110" s="3" t="s">
        <v>53</v>
      </c>
      <c r="Z110" s="3" t="s">
        <v>53</v>
      </c>
      <c r="AA110" s="3" t="s">
        <v>53</v>
      </c>
      <c r="AB110" s="3" t="str">
        <f t="shared" si="7"/>
        <v>Effective</v>
      </c>
      <c r="AC110" s="3" t="str">
        <f t="shared" si="8"/>
        <v>Low</v>
      </c>
      <c r="AD110" s="3">
        <f t="shared" si="9"/>
        <v>3</v>
      </c>
      <c r="AE110" s="3">
        <f t="shared" si="10"/>
        <v>3</v>
      </c>
      <c r="AF110" s="3" t="s">
        <v>59</v>
      </c>
      <c r="AG110" s="3"/>
      <c r="AH110" s="3"/>
      <c r="AI110" s="3"/>
      <c r="AJ110" s="3"/>
      <c r="AK110" s="3"/>
      <c r="AL110" s="3" t="s">
        <v>60</v>
      </c>
      <c r="AM110" s="3" t="str">
        <f t="shared" si="11"/>
        <v>Must Have</v>
      </c>
    </row>
    <row r="111" spans="1:39" ht="120" hidden="1" customHeight="1" x14ac:dyDescent="0.35">
      <c r="A111" s="4">
        <v>110</v>
      </c>
      <c r="B111" s="3" t="s">
        <v>39</v>
      </c>
      <c r="C111" s="3" t="s">
        <v>1226</v>
      </c>
      <c r="D111" s="3" t="s">
        <v>551</v>
      </c>
      <c r="E111" s="3" t="s">
        <v>1227</v>
      </c>
      <c r="F111" s="3" t="s">
        <v>114</v>
      </c>
      <c r="G111" s="3" t="s">
        <v>891</v>
      </c>
      <c r="H111" s="3" t="s">
        <v>1227</v>
      </c>
      <c r="I111" s="4" t="s">
        <v>1240</v>
      </c>
      <c r="J111" s="3" t="s">
        <v>1241</v>
      </c>
      <c r="K111" s="3" t="s">
        <v>1242</v>
      </c>
      <c r="L111" s="3" t="s">
        <v>1243</v>
      </c>
      <c r="M111" s="3" t="s">
        <v>1244</v>
      </c>
      <c r="N111" s="3" t="s">
        <v>1245</v>
      </c>
      <c r="O111" s="3" t="s">
        <v>1246</v>
      </c>
      <c r="P111" s="3" t="s">
        <v>122</v>
      </c>
      <c r="Q111" s="3" t="s">
        <v>52</v>
      </c>
      <c r="R111" s="3" t="s">
        <v>53</v>
      </c>
      <c r="S111" s="3" t="s">
        <v>1247</v>
      </c>
      <c r="T111" s="3" t="s">
        <v>68</v>
      </c>
      <c r="U111" s="3" t="s">
        <v>1248</v>
      </c>
      <c r="V111" s="3" t="s">
        <v>1249</v>
      </c>
      <c r="W111" s="3" t="s">
        <v>978</v>
      </c>
      <c r="X111" s="3">
        <f t="shared" si="6"/>
        <v>4</v>
      </c>
      <c r="Y111" s="3" t="s">
        <v>53</v>
      </c>
      <c r="Z111" s="3" t="s">
        <v>53</v>
      </c>
      <c r="AA111" s="3" t="s">
        <v>53</v>
      </c>
      <c r="AB111" s="3" t="str">
        <f t="shared" si="7"/>
        <v>Effective</v>
      </c>
      <c r="AC111" s="3" t="str">
        <f t="shared" si="8"/>
        <v>Medium</v>
      </c>
      <c r="AD111" s="3">
        <f t="shared" si="9"/>
        <v>4</v>
      </c>
      <c r="AE111" s="3">
        <f t="shared" si="10"/>
        <v>4</v>
      </c>
      <c r="AF111" s="3" t="s">
        <v>59</v>
      </c>
      <c r="AG111" s="3"/>
      <c r="AH111" s="3"/>
      <c r="AI111" s="3"/>
      <c r="AJ111" s="3"/>
      <c r="AK111" s="3"/>
      <c r="AL111" s="3" t="s">
        <v>60</v>
      </c>
      <c r="AM111" s="3" t="str">
        <f t="shared" si="11"/>
        <v>Must Have</v>
      </c>
    </row>
    <row r="112" spans="1:39" ht="108" hidden="1" customHeight="1" x14ac:dyDescent="0.35">
      <c r="A112" s="4">
        <v>111</v>
      </c>
      <c r="B112" s="3" t="s">
        <v>39</v>
      </c>
      <c r="C112" s="3" t="s">
        <v>1226</v>
      </c>
      <c r="D112" s="3" t="s">
        <v>551</v>
      </c>
      <c r="E112" s="3" t="s">
        <v>1227</v>
      </c>
      <c r="F112" s="3" t="s">
        <v>114</v>
      </c>
      <c r="G112" s="3" t="s">
        <v>891</v>
      </c>
      <c r="H112" s="3" t="s">
        <v>1227</v>
      </c>
      <c r="I112" s="4" t="s">
        <v>1240</v>
      </c>
      <c r="J112" s="3" t="s">
        <v>1250</v>
      </c>
      <c r="K112" s="3" t="s">
        <v>1251</v>
      </c>
      <c r="L112" s="3" t="s">
        <v>1252</v>
      </c>
      <c r="M112" s="3" t="s">
        <v>1253</v>
      </c>
      <c r="N112" s="3" t="s">
        <v>1254</v>
      </c>
      <c r="O112" s="3" t="s">
        <v>1255</v>
      </c>
      <c r="P112" s="3" t="s">
        <v>122</v>
      </c>
      <c r="Q112" s="3" t="s">
        <v>52</v>
      </c>
      <c r="R112" s="3" t="s">
        <v>53</v>
      </c>
      <c r="S112" s="3" t="s">
        <v>1247</v>
      </c>
      <c r="T112" s="3" t="s">
        <v>68</v>
      </c>
      <c r="U112" s="3" t="s">
        <v>1256</v>
      </c>
      <c r="V112" s="3" t="s">
        <v>1249</v>
      </c>
      <c r="W112" s="3" t="s">
        <v>58</v>
      </c>
      <c r="X112" s="3">
        <f t="shared" si="6"/>
        <v>3</v>
      </c>
      <c r="Y112" s="3" t="s">
        <v>53</v>
      </c>
      <c r="Z112" s="3" t="s">
        <v>53</v>
      </c>
      <c r="AA112" s="3" t="s">
        <v>53</v>
      </c>
      <c r="AB112" s="3" t="str">
        <f t="shared" si="7"/>
        <v>Effective</v>
      </c>
      <c r="AC112" s="3" t="str">
        <f t="shared" si="8"/>
        <v>Low</v>
      </c>
      <c r="AD112" s="3">
        <f t="shared" si="9"/>
        <v>3</v>
      </c>
      <c r="AE112" s="3">
        <f t="shared" si="10"/>
        <v>3</v>
      </c>
      <c r="AF112" s="3" t="s">
        <v>59</v>
      </c>
      <c r="AG112" s="3"/>
      <c r="AH112" s="3"/>
      <c r="AI112" s="3"/>
      <c r="AJ112" s="3"/>
      <c r="AK112" s="3"/>
      <c r="AL112" s="3" t="s">
        <v>60</v>
      </c>
      <c r="AM112" s="3" t="str">
        <f t="shared" si="11"/>
        <v>Must Have</v>
      </c>
    </row>
    <row r="113" spans="1:39" ht="120" hidden="1" customHeight="1" x14ac:dyDescent="0.35">
      <c r="A113" s="4">
        <v>112</v>
      </c>
      <c r="B113" s="3" t="s">
        <v>39</v>
      </c>
      <c r="C113" s="3" t="s">
        <v>1226</v>
      </c>
      <c r="D113" s="3" t="s">
        <v>551</v>
      </c>
      <c r="E113" s="3" t="s">
        <v>1227</v>
      </c>
      <c r="F113" s="3" t="s">
        <v>114</v>
      </c>
      <c r="G113" s="3" t="s">
        <v>891</v>
      </c>
      <c r="H113" s="3" t="s">
        <v>1227</v>
      </c>
      <c r="I113" s="4" t="s">
        <v>1257</v>
      </c>
      <c r="J113" s="3" t="s">
        <v>1258</v>
      </c>
      <c r="K113" s="3" t="s">
        <v>1259</v>
      </c>
      <c r="L113" s="3" t="s">
        <v>1260</v>
      </c>
      <c r="M113" s="3" t="s">
        <v>1261</v>
      </c>
      <c r="N113" s="3" t="s">
        <v>1262</v>
      </c>
      <c r="O113" s="3" t="s">
        <v>1263</v>
      </c>
      <c r="P113" s="3" t="s">
        <v>51</v>
      </c>
      <c r="Q113" s="3" t="s">
        <v>52</v>
      </c>
      <c r="R113" s="3" t="s">
        <v>53</v>
      </c>
      <c r="S113" s="3" t="s">
        <v>986</v>
      </c>
      <c r="T113" s="3" t="s">
        <v>1085</v>
      </c>
      <c r="U113" s="3" t="s">
        <v>1264</v>
      </c>
      <c r="V113" s="3" t="s">
        <v>1087</v>
      </c>
      <c r="W113" s="3" t="s">
        <v>159</v>
      </c>
      <c r="X113" s="3">
        <f t="shared" si="6"/>
        <v>2</v>
      </c>
      <c r="Y113" s="3" t="s">
        <v>53</v>
      </c>
      <c r="Z113" s="3" t="s">
        <v>53</v>
      </c>
      <c r="AA113" s="3" t="s">
        <v>53</v>
      </c>
      <c r="AB113" s="3" t="str">
        <f t="shared" si="7"/>
        <v>Effective</v>
      </c>
      <c r="AC113" s="3" t="str">
        <f t="shared" si="8"/>
        <v>Low</v>
      </c>
      <c r="AD113" s="3">
        <f t="shared" si="9"/>
        <v>2</v>
      </c>
      <c r="AE113" s="3">
        <f t="shared" si="10"/>
        <v>2</v>
      </c>
      <c r="AF113" s="3" t="s">
        <v>59</v>
      </c>
      <c r="AG113" s="3"/>
      <c r="AH113" s="3"/>
      <c r="AI113" s="3"/>
      <c r="AJ113" s="3"/>
      <c r="AK113" s="3"/>
      <c r="AL113" s="3" t="s">
        <v>60</v>
      </c>
      <c r="AM113" s="3" t="str">
        <f t="shared" si="11"/>
        <v>Should Have</v>
      </c>
    </row>
    <row r="114" spans="1:39" ht="120" hidden="1" customHeight="1" x14ac:dyDescent="0.35">
      <c r="A114" s="4">
        <v>113</v>
      </c>
      <c r="B114" s="3" t="s">
        <v>39</v>
      </c>
      <c r="C114" s="3" t="s">
        <v>1265</v>
      </c>
      <c r="D114" s="3" t="s">
        <v>551</v>
      </c>
      <c r="E114" s="3" t="s">
        <v>1266</v>
      </c>
      <c r="F114" s="3" t="s">
        <v>114</v>
      </c>
      <c r="G114" s="3" t="s">
        <v>891</v>
      </c>
      <c r="H114" s="3" t="s">
        <v>1266</v>
      </c>
      <c r="I114" s="4" t="s">
        <v>1267</v>
      </c>
      <c r="J114" s="3" t="s">
        <v>1268</v>
      </c>
      <c r="K114" s="3" t="s">
        <v>1269</v>
      </c>
      <c r="L114" s="3" t="s">
        <v>1270</v>
      </c>
      <c r="M114" s="3" t="s">
        <v>1271</v>
      </c>
      <c r="N114" s="3" t="s">
        <v>1272</v>
      </c>
      <c r="O114" s="3" t="s">
        <v>1273</v>
      </c>
      <c r="P114" s="3" t="s">
        <v>51</v>
      </c>
      <c r="Q114" s="3" t="s">
        <v>153</v>
      </c>
      <c r="R114" s="3" t="s">
        <v>53</v>
      </c>
      <c r="S114" s="3" t="s">
        <v>1064</v>
      </c>
      <c r="T114" s="3" t="s">
        <v>1274</v>
      </c>
      <c r="U114" s="3" t="s">
        <v>1275</v>
      </c>
      <c r="V114" s="3" t="s">
        <v>1276</v>
      </c>
      <c r="W114" s="3" t="s">
        <v>978</v>
      </c>
      <c r="X114" s="3">
        <f t="shared" si="6"/>
        <v>4</v>
      </c>
      <c r="Y114" s="3" t="s">
        <v>53</v>
      </c>
      <c r="Z114" s="3" t="s">
        <v>53</v>
      </c>
      <c r="AA114" s="3" t="s">
        <v>53</v>
      </c>
      <c r="AB114" s="3" t="str">
        <f t="shared" si="7"/>
        <v>Effective</v>
      </c>
      <c r="AC114" s="3" t="str">
        <f t="shared" si="8"/>
        <v>Medium</v>
      </c>
      <c r="AD114" s="3">
        <f t="shared" si="9"/>
        <v>4</v>
      </c>
      <c r="AE114" s="3">
        <f t="shared" si="10"/>
        <v>4</v>
      </c>
      <c r="AF114" s="3" t="s">
        <v>59</v>
      </c>
      <c r="AG114" s="3"/>
      <c r="AH114" s="3"/>
      <c r="AI114" s="3"/>
      <c r="AJ114" s="3"/>
      <c r="AK114" s="3"/>
      <c r="AL114" s="3" t="s">
        <v>60</v>
      </c>
      <c r="AM114" s="3" t="str">
        <f t="shared" si="11"/>
        <v>Must Have</v>
      </c>
    </row>
    <row r="115" spans="1:39" ht="120" hidden="1" customHeight="1" x14ac:dyDescent="0.35">
      <c r="A115" s="4">
        <v>114</v>
      </c>
      <c r="B115" s="3" t="s">
        <v>39</v>
      </c>
      <c r="C115" s="3" t="s">
        <v>1265</v>
      </c>
      <c r="D115" s="3" t="s">
        <v>551</v>
      </c>
      <c r="E115" s="3" t="s">
        <v>1266</v>
      </c>
      <c r="F115" s="3" t="s">
        <v>114</v>
      </c>
      <c r="G115" s="3" t="s">
        <v>891</v>
      </c>
      <c r="H115" s="3" t="s">
        <v>1266</v>
      </c>
      <c r="I115" s="4" t="s">
        <v>1277</v>
      </c>
      <c r="J115" s="3" t="s">
        <v>1278</v>
      </c>
      <c r="K115" s="3" t="s">
        <v>1279</v>
      </c>
      <c r="L115" s="3" t="s">
        <v>1280</v>
      </c>
      <c r="M115" s="3" t="s">
        <v>1281</v>
      </c>
      <c r="N115" s="3" t="s">
        <v>1282</v>
      </c>
      <c r="O115" s="3" t="s">
        <v>1283</v>
      </c>
      <c r="P115" s="3" t="s">
        <v>51</v>
      </c>
      <c r="Q115" s="3" t="s">
        <v>52</v>
      </c>
      <c r="R115" s="3" t="s">
        <v>53</v>
      </c>
      <c r="S115" s="3" t="s">
        <v>1284</v>
      </c>
      <c r="T115" s="3" t="s">
        <v>962</v>
      </c>
      <c r="U115" s="3" t="s">
        <v>1285</v>
      </c>
      <c r="V115" s="3" t="s">
        <v>1286</v>
      </c>
      <c r="W115" s="3" t="s">
        <v>58</v>
      </c>
      <c r="X115" s="3">
        <f t="shared" si="6"/>
        <v>3</v>
      </c>
      <c r="Y115" s="3" t="s">
        <v>53</v>
      </c>
      <c r="Z115" s="3" t="s">
        <v>53</v>
      </c>
      <c r="AA115" s="3" t="s">
        <v>53</v>
      </c>
      <c r="AB115" s="3" t="str">
        <f t="shared" si="7"/>
        <v>Effective</v>
      </c>
      <c r="AC115" s="3" t="str">
        <f t="shared" si="8"/>
        <v>Low</v>
      </c>
      <c r="AD115" s="3">
        <f t="shared" si="9"/>
        <v>3</v>
      </c>
      <c r="AE115" s="3">
        <f t="shared" si="10"/>
        <v>3</v>
      </c>
      <c r="AF115" s="3" t="s">
        <v>59</v>
      </c>
      <c r="AG115" s="3"/>
      <c r="AH115" s="3"/>
      <c r="AI115" s="3"/>
      <c r="AJ115" s="3"/>
      <c r="AK115" s="3"/>
      <c r="AL115" s="3" t="s">
        <v>60</v>
      </c>
      <c r="AM115" s="3" t="str">
        <f t="shared" si="11"/>
        <v>Must Have</v>
      </c>
    </row>
    <row r="116" spans="1:39" ht="120" hidden="1" customHeight="1" x14ac:dyDescent="0.35">
      <c r="A116" s="4">
        <v>115</v>
      </c>
      <c r="B116" s="3" t="s">
        <v>39</v>
      </c>
      <c r="C116" s="3" t="s">
        <v>1265</v>
      </c>
      <c r="D116" s="3" t="s">
        <v>551</v>
      </c>
      <c r="E116" s="3" t="s">
        <v>1266</v>
      </c>
      <c r="F116" s="3" t="s">
        <v>114</v>
      </c>
      <c r="G116" s="3" t="s">
        <v>891</v>
      </c>
      <c r="H116" s="3" t="s">
        <v>1266</v>
      </c>
      <c r="I116" s="4" t="s">
        <v>1287</v>
      </c>
      <c r="J116" s="3" t="s">
        <v>1288</v>
      </c>
      <c r="K116" s="3" t="s">
        <v>1289</v>
      </c>
      <c r="L116" s="3" t="s">
        <v>1290</v>
      </c>
      <c r="M116" s="3" t="s">
        <v>1291</v>
      </c>
      <c r="N116" s="3" t="s">
        <v>1292</v>
      </c>
      <c r="O116" s="3" t="s">
        <v>1293</v>
      </c>
      <c r="P116" s="3" t="s">
        <v>51</v>
      </c>
      <c r="Q116" s="3" t="s">
        <v>52</v>
      </c>
      <c r="R116" s="3" t="s">
        <v>53</v>
      </c>
      <c r="S116" s="3" t="s">
        <v>1294</v>
      </c>
      <c r="T116" s="3" t="s">
        <v>962</v>
      </c>
      <c r="U116" s="3" t="s">
        <v>1295</v>
      </c>
      <c r="V116" s="3" t="s">
        <v>1296</v>
      </c>
      <c r="W116" s="3" t="s">
        <v>58</v>
      </c>
      <c r="X116" s="3">
        <f t="shared" si="6"/>
        <v>3</v>
      </c>
      <c r="Y116" s="3" t="s">
        <v>53</v>
      </c>
      <c r="Z116" s="3" t="s">
        <v>53</v>
      </c>
      <c r="AA116" s="3" t="s">
        <v>53</v>
      </c>
      <c r="AB116" s="3" t="str">
        <f t="shared" si="7"/>
        <v>Effective</v>
      </c>
      <c r="AC116" s="3" t="str">
        <f t="shared" si="8"/>
        <v>Low</v>
      </c>
      <c r="AD116" s="3">
        <f t="shared" si="9"/>
        <v>3</v>
      </c>
      <c r="AE116" s="3">
        <f t="shared" si="10"/>
        <v>3</v>
      </c>
      <c r="AF116" s="3" t="s">
        <v>59</v>
      </c>
      <c r="AG116" s="3"/>
      <c r="AH116" s="3"/>
      <c r="AI116" s="3"/>
      <c r="AJ116" s="3"/>
      <c r="AK116" s="3"/>
      <c r="AL116" s="3" t="s">
        <v>60</v>
      </c>
      <c r="AM116" s="3" t="str">
        <f t="shared" si="11"/>
        <v>Must Have</v>
      </c>
    </row>
    <row r="117" spans="1:39" ht="120" customHeight="1" x14ac:dyDescent="0.35">
      <c r="A117" s="4">
        <v>116</v>
      </c>
      <c r="B117" s="3" t="s">
        <v>39</v>
      </c>
      <c r="C117" s="3" t="s">
        <v>1297</v>
      </c>
      <c r="D117" s="3" t="s">
        <v>1298</v>
      </c>
      <c r="E117" s="3" t="s">
        <v>1299</v>
      </c>
      <c r="F117" s="3" t="s">
        <v>114</v>
      </c>
      <c r="G117" s="3" t="s">
        <v>1300</v>
      </c>
      <c r="H117" s="3" t="s">
        <v>1299</v>
      </c>
      <c r="I117" s="4" t="s">
        <v>1301</v>
      </c>
      <c r="J117" s="3" t="s">
        <v>1302</v>
      </c>
      <c r="K117" s="3" t="s">
        <v>1303</v>
      </c>
      <c r="L117" s="3" t="s">
        <v>1304</v>
      </c>
      <c r="M117" s="3" t="s">
        <v>1305</v>
      </c>
      <c r="N117" s="3" t="s">
        <v>1306</v>
      </c>
      <c r="O117" s="3" t="s">
        <v>1307</v>
      </c>
      <c r="P117" s="3" t="s">
        <v>122</v>
      </c>
      <c r="Q117" s="3" t="s">
        <v>153</v>
      </c>
      <c r="R117" s="3" t="s">
        <v>53</v>
      </c>
      <c r="S117" s="3" t="s">
        <v>1308</v>
      </c>
      <c r="T117" s="3" t="s">
        <v>68</v>
      </c>
      <c r="U117" s="3" t="s">
        <v>1309</v>
      </c>
      <c r="V117" s="3" t="s">
        <v>1310</v>
      </c>
      <c r="W117" s="3" t="s">
        <v>978</v>
      </c>
      <c r="X117" s="3">
        <f t="shared" si="6"/>
        <v>4</v>
      </c>
      <c r="Y117" s="3" t="s">
        <v>53</v>
      </c>
      <c r="Z117" s="3" t="s">
        <v>53</v>
      </c>
      <c r="AA117" s="3" t="s">
        <v>53</v>
      </c>
      <c r="AB117" s="3" t="str">
        <f t="shared" si="7"/>
        <v>Effective</v>
      </c>
      <c r="AC117" s="3" t="str">
        <f t="shared" si="8"/>
        <v>Medium</v>
      </c>
      <c r="AD117" s="3">
        <f t="shared" si="9"/>
        <v>4</v>
      </c>
      <c r="AE117" s="3">
        <f t="shared" si="10"/>
        <v>4</v>
      </c>
      <c r="AF117" s="3" t="s">
        <v>59</v>
      </c>
      <c r="AG117" s="3"/>
      <c r="AH117" s="3"/>
      <c r="AI117" s="3"/>
      <c r="AJ117" s="3"/>
      <c r="AK117" s="3"/>
      <c r="AL117" s="3" t="s">
        <v>60</v>
      </c>
      <c r="AM117" s="3" t="str">
        <f t="shared" si="11"/>
        <v>Must Have</v>
      </c>
    </row>
    <row r="118" spans="1:39" ht="120" hidden="1" customHeight="1" x14ac:dyDescent="0.35">
      <c r="A118" s="4">
        <v>117</v>
      </c>
      <c r="B118" s="3" t="s">
        <v>39</v>
      </c>
      <c r="C118" s="3" t="s">
        <v>1297</v>
      </c>
      <c r="D118" s="3" t="s">
        <v>1298</v>
      </c>
      <c r="E118" s="3" t="s">
        <v>1299</v>
      </c>
      <c r="F118" s="3" t="s">
        <v>114</v>
      </c>
      <c r="G118" s="3" t="s">
        <v>891</v>
      </c>
      <c r="H118" s="3" t="s">
        <v>1299</v>
      </c>
      <c r="I118" s="4" t="s">
        <v>1311</v>
      </c>
      <c r="J118" s="3" t="s">
        <v>1312</v>
      </c>
      <c r="K118" s="3" t="s">
        <v>1313</v>
      </c>
      <c r="L118" s="3" t="s">
        <v>1314</v>
      </c>
      <c r="M118" s="3" t="s">
        <v>1315</v>
      </c>
      <c r="N118" s="3" t="s">
        <v>1316</v>
      </c>
      <c r="O118" s="3" t="s">
        <v>1317</v>
      </c>
      <c r="P118" s="3" t="s">
        <v>122</v>
      </c>
      <c r="Q118" s="3" t="s">
        <v>52</v>
      </c>
      <c r="R118" s="3" t="s">
        <v>53</v>
      </c>
      <c r="S118" s="3" t="s">
        <v>1318</v>
      </c>
      <c r="T118" s="3" t="s">
        <v>1139</v>
      </c>
      <c r="U118" s="3" t="s">
        <v>1319</v>
      </c>
      <c r="V118" s="3" t="s">
        <v>1320</v>
      </c>
      <c r="W118" s="3" t="s">
        <v>978</v>
      </c>
      <c r="X118" s="3">
        <f t="shared" si="6"/>
        <v>4</v>
      </c>
      <c r="Y118" s="3" t="s">
        <v>53</v>
      </c>
      <c r="Z118" s="3" t="s">
        <v>53</v>
      </c>
      <c r="AA118" s="3" t="s">
        <v>53</v>
      </c>
      <c r="AB118" s="3" t="str">
        <f t="shared" si="7"/>
        <v>Effective</v>
      </c>
      <c r="AC118" s="3" t="str">
        <f t="shared" si="8"/>
        <v>Medium</v>
      </c>
      <c r="AD118" s="3">
        <f t="shared" si="9"/>
        <v>4</v>
      </c>
      <c r="AE118" s="3">
        <f t="shared" si="10"/>
        <v>4</v>
      </c>
      <c r="AF118" s="3" t="s">
        <v>59</v>
      </c>
      <c r="AG118" s="3"/>
      <c r="AH118" s="3"/>
      <c r="AI118" s="3"/>
      <c r="AJ118" s="3"/>
      <c r="AK118" s="3"/>
      <c r="AL118" s="3" t="s">
        <v>60</v>
      </c>
      <c r="AM118" s="3" t="str">
        <f t="shared" si="11"/>
        <v>Must Have</v>
      </c>
    </row>
    <row r="119" spans="1:39" ht="120" hidden="1" customHeight="1" x14ac:dyDescent="0.35">
      <c r="A119" s="4">
        <v>118</v>
      </c>
      <c r="B119" s="3" t="s">
        <v>39</v>
      </c>
      <c r="C119" s="3" t="s">
        <v>1297</v>
      </c>
      <c r="D119" s="3" t="s">
        <v>1298</v>
      </c>
      <c r="E119" s="3" t="s">
        <v>1299</v>
      </c>
      <c r="F119" s="3" t="s">
        <v>114</v>
      </c>
      <c r="G119" s="3" t="s">
        <v>891</v>
      </c>
      <c r="H119" s="3" t="s">
        <v>1299</v>
      </c>
      <c r="I119" s="4" t="s">
        <v>1311</v>
      </c>
      <c r="J119" s="3" t="s">
        <v>1321</v>
      </c>
      <c r="K119" s="3" t="s">
        <v>1322</v>
      </c>
      <c r="L119" s="3" t="s">
        <v>1323</v>
      </c>
      <c r="M119" s="3" t="s">
        <v>1324</v>
      </c>
      <c r="N119" s="3" t="s">
        <v>1325</v>
      </c>
      <c r="O119" s="3" t="s">
        <v>1326</v>
      </c>
      <c r="P119" s="3" t="s">
        <v>122</v>
      </c>
      <c r="Q119" s="3" t="s">
        <v>52</v>
      </c>
      <c r="R119" s="3" t="s">
        <v>53</v>
      </c>
      <c r="S119" s="3" t="s">
        <v>1308</v>
      </c>
      <c r="T119" s="3" t="s">
        <v>68</v>
      </c>
      <c r="U119" s="3" t="s">
        <v>1327</v>
      </c>
      <c r="V119" s="3" t="s">
        <v>1310</v>
      </c>
      <c r="W119" s="3" t="s">
        <v>58</v>
      </c>
      <c r="X119" s="3">
        <f t="shared" si="6"/>
        <v>3</v>
      </c>
      <c r="Y119" s="3" t="s">
        <v>53</v>
      </c>
      <c r="Z119" s="3" t="s">
        <v>53</v>
      </c>
      <c r="AA119" s="3" t="s">
        <v>53</v>
      </c>
      <c r="AB119" s="3" t="str">
        <f t="shared" si="7"/>
        <v>Effective</v>
      </c>
      <c r="AC119" s="3" t="str">
        <f t="shared" si="8"/>
        <v>Low</v>
      </c>
      <c r="AD119" s="3">
        <f t="shared" si="9"/>
        <v>3</v>
      </c>
      <c r="AE119" s="3">
        <f t="shared" si="10"/>
        <v>3</v>
      </c>
      <c r="AF119" s="3" t="s">
        <v>59</v>
      </c>
      <c r="AG119" s="3"/>
      <c r="AH119" s="3"/>
      <c r="AI119" s="3"/>
      <c r="AJ119" s="3"/>
      <c r="AK119" s="3"/>
      <c r="AL119" s="3" t="s">
        <v>60</v>
      </c>
      <c r="AM119" s="3" t="str">
        <f t="shared" si="11"/>
        <v>Must Have</v>
      </c>
    </row>
    <row r="120" spans="1:39" ht="108" hidden="1" customHeight="1" x14ac:dyDescent="0.35">
      <c r="A120" s="4">
        <v>119</v>
      </c>
      <c r="B120" s="3" t="s">
        <v>39</v>
      </c>
      <c r="C120" s="3" t="s">
        <v>1297</v>
      </c>
      <c r="D120" s="3" t="s">
        <v>1298</v>
      </c>
      <c r="E120" s="3" t="s">
        <v>1299</v>
      </c>
      <c r="F120" s="3" t="s">
        <v>114</v>
      </c>
      <c r="G120" s="3" t="s">
        <v>891</v>
      </c>
      <c r="H120" s="3" t="s">
        <v>1299</v>
      </c>
      <c r="I120" s="4" t="s">
        <v>1311</v>
      </c>
      <c r="J120" s="3" t="s">
        <v>1328</v>
      </c>
      <c r="K120" s="3" t="s">
        <v>1329</v>
      </c>
      <c r="L120" s="3" t="s">
        <v>1330</v>
      </c>
      <c r="M120" s="3" t="s">
        <v>1331</v>
      </c>
      <c r="N120" s="3" t="s">
        <v>1332</v>
      </c>
      <c r="O120" s="3" t="s">
        <v>1333</v>
      </c>
      <c r="P120" s="3" t="s">
        <v>206</v>
      </c>
      <c r="Q120" s="3" t="s">
        <v>52</v>
      </c>
      <c r="R120" s="3" t="s">
        <v>53</v>
      </c>
      <c r="S120" s="3" t="s">
        <v>1334</v>
      </c>
      <c r="T120" s="3" t="s">
        <v>920</v>
      </c>
      <c r="U120" s="3" t="s">
        <v>1335</v>
      </c>
      <c r="V120" s="3" t="s">
        <v>1336</v>
      </c>
      <c r="W120" s="3" t="s">
        <v>978</v>
      </c>
      <c r="X120" s="3">
        <f t="shared" si="6"/>
        <v>4</v>
      </c>
      <c r="Y120" s="3" t="s">
        <v>53</v>
      </c>
      <c r="Z120" s="3" t="s">
        <v>53</v>
      </c>
      <c r="AA120" s="3" t="s">
        <v>53</v>
      </c>
      <c r="AB120" s="3" t="str">
        <f t="shared" si="7"/>
        <v>Effective</v>
      </c>
      <c r="AC120" s="3" t="str">
        <f t="shared" si="8"/>
        <v>Medium</v>
      </c>
      <c r="AD120" s="3">
        <f t="shared" si="9"/>
        <v>4</v>
      </c>
      <c r="AE120" s="3">
        <f t="shared" si="10"/>
        <v>4</v>
      </c>
      <c r="AF120" s="3" t="s">
        <v>59</v>
      </c>
      <c r="AG120" s="3"/>
      <c r="AH120" s="3"/>
      <c r="AI120" s="3"/>
      <c r="AJ120" s="3"/>
      <c r="AK120" s="3"/>
      <c r="AL120" s="3" t="s">
        <v>60</v>
      </c>
      <c r="AM120" s="3" t="str">
        <f t="shared" si="11"/>
        <v>Must Have</v>
      </c>
    </row>
    <row r="121" spans="1:39" ht="120" hidden="1" customHeight="1" x14ac:dyDescent="0.35">
      <c r="A121" s="4">
        <v>120</v>
      </c>
      <c r="B121" s="3" t="s">
        <v>39</v>
      </c>
      <c r="C121" s="3" t="s">
        <v>1337</v>
      </c>
      <c r="D121" s="3" t="s">
        <v>1298</v>
      </c>
      <c r="E121" s="3" t="s">
        <v>1338</v>
      </c>
      <c r="F121" s="3" t="s">
        <v>42</v>
      </c>
      <c r="G121" s="3" t="s">
        <v>891</v>
      </c>
      <c r="H121" s="3" t="s">
        <v>1338</v>
      </c>
      <c r="I121" s="4" t="s">
        <v>1339</v>
      </c>
      <c r="J121" s="3" t="s">
        <v>1340</v>
      </c>
      <c r="K121" s="3" t="s">
        <v>1341</v>
      </c>
      <c r="L121" s="3" t="s">
        <v>1342</v>
      </c>
      <c r="M121" s="3" t="s">
        <v>1343</v>
      </c>
      <c r="N121" s="3" t="s">
        <v>1344</v>
      </c>
      <c r="O121" s="3" t="s">
        <v>1345</v>
      </c>
      <c r="P121" s="3" t="s">
        <v>51</v>
      </c>
      <c r="Q121" s="3" t="s">
        <v>153</v>
      </c>
      <c r="R121" s="3" t="s">
        <v>53</v>
      </c>
      <c r="S121" s="3" t="s">
        <v>1346</v>
      </c>
      <c r="T121" s="3" t="s">
        <v>68</v>
      </c>
      <c r="U121" s="3" t="s">
        <v>1347</v>
      </c>
      <c r="V121" s="3" t="s">
        <v>1348</v>
      </c>
      <c r="W121" s="3" t="s">
        <v>58</v>
      </c>
      <c r="X121" s="3">
        <f t="shared" si="6"/>
        <v>3</v>
      </c>
      <c r="Y121" s="3" t="s">
        <v>53</v>
      </c>
      <c r="Z121" s="3" t="s">
        <v>53</v>
      </c>
      <c r="AA121" s="3" t="s">
        <v>53</v>
      </c>
      <c r="AB121" s="3" t="str">
        <f t="shared" si="7"/>
        <v>Effective</v>
      </c>
      <c r="AC121" s="3" t="str">
        <f t="shared" si="8"/>
        <v>Low</v>
      </c>
      <c r="AD121" s="3">
        <f t="shared" si="9"/>
        <v>3</v>
      </c>
      <c r="AE121" s="3">
        <f t="shared" si="10"/>
        <v>3</v>
      </c>
      <c r="AF121" s="3" t="s">
        <v>59</v>
      </c>
      <c r="AG121" s="3"/>
      <c r="AH121" s="3"/>
      <c r="AI121" s="3"/>
      <c r="AJ121" s="3"/>
      <c r="AK121" s="3"/>
      <c r="AL121" s="3" t="s">
        <v>60</v>
      </c>
      <c r="AM121" s="3" t="str">
        <f t="shared" si="11"/>
        <v>Must Have</v>
      </c>
    </row>
    <row r="122" spans="1:39" ht="120" hidden="1" customHeight="1" x14ac:dyDescent="0.35">
      <c r="A122" s="4">
        <v>121</v>
      </c>
      <c r="B122" s="3" t="s">
        <v>39</v>
      </c>
      <c r="C122" s="3" t="s">
        <v>1337</v>
      </c>
      <c r="D122" s="3" t="s">
        <v>1298</v>
      </c>
      <c r="E122" s="3" t="s">
        <v>1338</v>
      </c>
      <c r="F122" s="3" t="s">
        <v>42</v>
      </c>
      <c r="G122" s="3" t="s">
        <v>891</v>
      </c>
      <c r="H122" s="3" t="s">
        <v>1338</v>
      </c>
      <c r="I122" s="4" t="s">
        <v>1339</v>
      </c>
      <c r="J122" s="3" t="s">
        <v>1349</v>
      </c>
      <c r="K122" s="3" t="s">
        <v>1350</v>
      </c>
      <c r="L122" s="3" t="s">
        <v>1351</v>
      </c>
      <c r="M122" s="3" t="s">
        <v>1352</v>
      </c>
      <c r="N122" s="3" t="s">
        <v>1353</v>
      </c>
      <c r="O122" s="3" t="s">
        <v>1354</v>
      </c>
      <c r="P122" s="3" t="s">
        <v>51</v>
      </c>
      <c r="Q122" s="3" t="s">
        <v>153</v>
      </c>
      <c r="R122" s="3" t="s">
        <v>154</v>
      </c>
      <c r="S122" s="3" t="s">
        <v>1355</v>
      </c>
      <c r="T122" s="3" t="s">
        <v>68</v>
      </c>
      <c r="U122" s="3" t="s">
        <v>1356</v>
      </c>
      <c r="V122" s="3" t="s">
        <v>1357</v>
      </c>
      <c r="W122" s="3" t="s">
        <v>159</v>
      </c>
      <c r="X122" s="3">
        <f t="shared" si="6"/>
        <v>2</v>
      </c>
      <c r="Y122" s="3" t="s">
        <v>53</v>
      </c>
      <c r="Z122" s="3" t="s">
        <v>53</v>
      </c>
      <c r="AA122" s="3" t="s">
        <v>53</v>
      </c>
      <c r="AB122" s="3" t="str">
        <f t="shared" si="7"/>
        <v>Effective</v>
      </c>
      <c r="AC122" s="3" t="str">
        <f t="shared" si="8"/>
        <v>Low</v>
      </c>
      <c r="AD122" s="3">
        <f t="shared" si="9"/>
        <v>2</v>
      </c>
      <c r="AE122" s="3">
        <f t="shared" si="10"/>
        <v>2</v>
      </c>
      <c r="AF122" s="3" t="s">
        <v>59</v>
      </c>
      <c r="AG122" s="3"/>
      <c r="AH122" s="3"/>
      <c r="AI122" s="3"/>
      <c r="AJ122" s="3"/>
      <c r="AK122" s="3"/>
      <c r="AL122" s="3" t="s">
        <v>60</v>
      </c>
      <c r="AM122" s="3" t="str">
        <f t="shared" si="11"/>
        <v>Should Have</v>
      </c>
    </row>
    <row r="123" spans="1:39" ht="108" hidden="1" customHeight="1" x14ac:dyDescent="0.35">
      <c r="A123" s="4">
        <v>122</v>
      </c>
      <c r="B123" s="3" t="s">
        <v>39</v>
      </c>
      <c r="C123" s="3" t="s">
        <v>1337</v>
      </c>
      <c r="D123" s="3" t="s">
        <v>1298</v>
      </c>
      <c r="E123" s="3" t="s">
        <v>1338</v>
      </c>
      <c r="F123" s="3" t="s">
        <v>42</v>
      </c>
      <c r="G123" s="3" t="s">
        <v>891</v>
      </c>
      <c r="H123" s="3" t="s">
        <v>1338</v>
      </c>
      <c r="I123" s="4" t="s">
        <v>1339</v>
      </c>
      <c r="J123" s="3" t="s">
        <v>1358</v>
      </c>
      <c r="K123" s="3" t="s">
        <v>1359</v>
      </c>
      <c r="L123" s="3" t="s">
        <v>1360</v>
      </c>
      <c r="M123" s="3" t="s">
        <v>1361</v>
      </c>
      <c r="N123" s="3" t="s">
        <v>1362</v>
      </c>
      <c r="O123" s="3" t="s">
        <v>1363</v>
      </c>
      <c r="P123" s="3" t="s">
        <v>51</v>
      </c>
      <c r="Q123" s="3" t="s">
        <v>153</v>
      </c>
      <c r="R123" s="3" t="s">
        <v>53</v>
      </c>
      <c r="S123" s="3" t="s">
        <v>1364</v>
      </c>
      <c r="T123" s="3" t="s">
        <v>68</v>
      </c>
      <c r="U123" s="3" t="s">
        <v>1365</v>
      </c>
      <c r="V123" s="3" t="s">
        <v>1366</v>
      </c>
      <c r="W123" s="3" t="s">
        <v>58</v>
      </c>
      <c r="X123" s="3">
        <f t="shared" si="6"/>
        <v>3</v>
      </c>
      <c r="Y123" s="3" t="s">
        <v>53</v>
      </c>
      <c r="Z123" s="3" t="s">
        <v>53</v>
      </c>
      <c r="AA123" s="3" t="s">
        <v>53</v>
      </c>
      <c r="AB123" s="3" t="str">
        <f t="shared" si="7"/>
        <v>Effective</v>
      </c>
      <c r="AC123" s="3" t="str">
        <f t="shared" si="8"/>
        <v>Low</v>
      </c>
      <c r="AD123" s="3">
        <f t="shared" si="9"/>
        <v>3</v>
      </c>
      <c r="AE123" s="3">
        <f t="shared" si="10"/>
        <v>3</v>
      </c>
      <c r="AF123" s="3" t="s">
        <v>59</v>
      </c>
      <c r="AG123" s="3"/>
      <c r="AH123" s="3"/>
      <c r="AI123" s="3"/>
      <c r="AJ123" s="3"/>
      <c r="AK123" s="3"/>
      <c r="AL123" s="3" t="s">
        <v>60</v>
      </c>
      <c r="AM123" s="3" t="str">
        <f t="shared" si="11"/>
        <v>Must Have</v>
      </c>
    </row>
    <row r="124" spans="1:39" ht="108" hidden="1" customHeight="1" x14ac:dyDescent="0.35">
      <c r="A124" s="4">
        <v>123</v>
      </c>
      <c r="B124" s="3" t="s">
        <v>39</v>
      </c>
      <c r="C124" s="3" t="s">
        <v>1337</v>
      </c>
      <c r="D124" s="3" t="s">
        <v>1298</v>
      </c>
      <c r="E124" s="3" t="s">
        <v>1338</v>
      </c>
      <c r="F124" s="3" t="s">
        <v>42</v>
      </c>
      <c r="G124" s="3" t="s">
        <v>891</v>
      </c>
      <c r="H124" s="3" t="s">
        <v>1338</v>
      </c>
      <c r="I124" s="4" t="s">
        <v>1367</v>
      </c>
      <c r="J124" s="3" t="s">
        <v>1368</v>
      </c>
      <c r="K124" s="3" t="s">
        <v>1369</v>
      </c>
      <c r="L124" s="3" t="s">
        <v>1370</v>
      </c>
      <c r="M124" s="3" t="s">
        <v>1371</v>
      </c>
      <c r="N124" s="3" t="s">
        <v>1372</v>
      </c>
      <c r="O124" s="3" t="s">
        <v>1373</v>
      </c>
      <c r="P124" s="3" t="s">
        <v>51</v>
      </c>
      <c r="Q124" s="3" t="s">
        <v>52</v>
      </c>
      <c r="R124" s="3" t="s">
        <v>53</v>
      </c>
      <c r="S124" s="3" t="s">
        <v>1355</v>
      </c>
      <c r="T124" s="3" t="s">
        <v>68</v>
      </c>
      <c r="U124" s="3" t="s">
        <v>1374</v>
      </c>
      <c r="V124" s="3" t="s">
        <v>1357</v>
      </c>
      <c r="W124" s="3" t="s">
        <v>58</v>
      </c>
      <c r="X124" s="3">
        <f t="shared" si="6"/>
        <v>3</v>
      </c>
      <c r="Y124" s="3" t="s">
        <v>53</v>
      </c>
      <c r="Z124" s="3" t="s">
        <v>53</v>
      </c>
      <c r="AA124" s="3" t="s">
        <v>53</v>
      </c>
      <c r="AB124" s="3" t="str">
        <f t="shared" si="7"/>
        <v>Effective</v>
      </c>
      <c r="AC124" s="3" t="str">
        <f t="shared" si="8"/>
        <v>Low</v>
      </c>
      <c r="AD124" s="3">
        <f t="shared" si="9"/>
        <v>3</v>
      </c>
      <c r="AE124" s="3">
        <f t="shared" si="10"/>
        <v>3</v>
      </c>
      <c r="AF124" s="3" t="s">
        <v>59</v>
      </c>
      <c r="AG124" s="3"/>
      <c r="AH124" s="3"/>
      <c r="AI124" s="3"/>
      <c r="AJ124" s="3"/>
      <c r="AK124" s="3"/>
      <c r="AL124" s="3" t="s">
        <v>60</v>
      </c>
      <c r="AM124" s="3" t="str">
        <f t="shared" si="11"/>
        <v>Must Have</v>
      </c>
    </row>
    <row r="125" spans="1:39" ht="120" hidden="1" customHeight="1" x14ac:dyDescent="0.35">
      <c r="A125" s="4">
        <v>124</v>
      </c>
      <c r="B125" s="3" t="s">
        <v>39</v>
      </c>
      <c r="C125" s="3" t="s">
        <v>1375</v>
      </c>
      <c r="D125" s="3" t="s">
        <v>639</v>
      </c>
      <c r="E125" s="3" t="s">
        <v>1376</v>
      </c>
      <c r="F125" s="3" t="s">
        <v>42</v>
      </c>
      <c r="G125" s="3" t="s">
        <v>891</v>
      </c>
      <c r="H125" s="3" t="s">
        <v>1376</v>
      </c>
      <c r="I125" s="4" t="s">
        <v>1377</v>
      </c>
      <c r="J125" s="3" t="s">
        <v>1378</v>
      </c>
      <c r="K125" s="3" t="s">
        <v>1379</v>
      </c>
      <c r="L125" s="3" t="s">
        <v>1380</v>
      </c>
      <c r="M125" s="3" t="s">
        <v>1381</v>
      </c>
      <c r="N125" s="3" t="s">
        <v>1382</v>
      </c>
      <c r="O125" s="3" t="s">
        <v>1383</v>
      </c>
      <c r="P125" s="3" t="s">
        <v>51</v>
      </c>
      <c r="Q125" s="3" t="s">
        <v>153</v>
      </c>
      <c r="R125" s="3" t="s">
        <v>53</v>
      </c>
      <c r="S125" s="3" t="s">
        <v>1213</v>
      </c>
      <c r="T125" s="3" t="s">
        <v>68</v>
      </c>
      <c r="U125" s="3" t="s">
        <v>1384</v>
      </c>
      <c r="V125" s="3" t="s">
        <v>1385</v>
      </c>
      <c r="W125" s="3" t="s">
        <v>58</v>
      </c>
      <c r="X125" s="3">
        <f t="shared" si="6"/>
        <v>3</v>
      </c>
      <c r="Y125" s="3" t="s">
        <v>53</v>
      </c>
      <c r="Z125" s="3" t="s">
        <v>53</v>
      </c>
      <c r="AA125" s="3" t="s">
        <v>53</v>
      </c>
      <c r="AB125" s="3" t="str">
        <f t="shared" si="7"/>
        <v>Effective</v>
      </c>
      <c r="AC125" s="3" t="str">
        <f t="shared" si="8"/>
        <v>Low</v>
      </c>
      <c r="AD125" s="3">
        <f t="shared" si="9"/>
        <v>3</v>
      </c>
      <c r="AE125" s="3">
        <f t="shared" si="10"/>
        <v>3</v>
      </c>
      <c r="AF125" s="3" t="s">
        <v>59</v>
      </c>
      <c r="AG125" s="3"/>
      <c r="AH125" s="3"/>
      <c r="AI125" s="3"/>
      <c r="AJ125" s="3"/>
      <c r="AK125" s="3"/>
      <c r="AL125" s="3" t="s">
        <v>60</v>
      </c>
      <c r="AM125" s="3" t="str">
        <f t="shared" si="11"/>
        <v>Must Have</v>
      </c>
    </row>
    <row r="126" spans="1:39" ht="120" hidden="1" customHeight="1" x14ac:dyDescent="0.35">
      <c r="A126" s="4">
        <v>125</v>
      </c>
      <c r="B126" s="3" t="s">
        <v>39</v>
      </c>
      <c r="C126" s="3" t="s">
        <v>1375</v>
      </c>
      <c r="D126" s="3" t="s">
        <v>639</v>
      </c>
      <c r="E126" s="3" t="s">
        <v>1376</v>
      </c>
      <c r="F126" s="3" t="s">
        <v>42</v>
      </c>
      <c r="G126" s="3" t="s">
        <v>891</v>
      </c>
      <c r="H126" s="3" t="s">
        <v>1376</v>
      </c>
      <c r="I126" s="4" t="s">
        <v>1386</v>
      </c>
      <c r="J126" s="3" t="s">
        <v>1387</v>
      </c>
      <c r="K126" s="3" t="s">
        <v>1388</v>
      </c>
      <c r="L126" s="3" t="s">
        <v>1389</v>
      </c>
      <c r="M126" s="3" t="s">
        <v>1390</v>
      </c>
      <c r="N126" s="3" t="s">
        <v>1391</v>
      </c>
      <c r="O126" s="3" t="s">
        <v>1392</v>
      </c>
      <c r="P126" s="3" t="s">
        <v>51</v>
      </c>
      <c r="Q126" s="3" t="s">
        <v>52</v>
      </c>
      <c r="R126" s="3" t="s">
        <v>53</v>
      </c>
      <c r="S126" s="3" t="s">
        <v>1213</v>
      </c>
      <c r="T126" s="3" t="s">
        <v>1085</v>
      </c>
      <c r="U126" s="3" t="s">
        <v>1393</v>
      </c>
      <c r="V126" s="3" t="s">
        <v>1394</v>
      </c>
      <c r="W126" s="3" t="s">
        <v>58</v>
      </c>
      <c r="X126" s="3">
        <f t="shared" si="6"/>
        <v>3</v>
      </c>
      <c r="Y126" s="3" t="s">
        <v>53</v>
      </c>
      <c r="Z126" s="3" t="s">
        <v>53</v>
      </c>
      <c r="AA126" s="3" t="s">
        <v>53</v>
      </c>
      <c r="AB126" s="3" t="str">
        <f t="shared" si="7"/>
        <v>Effective</v>
      </c>
      <c r="AC126" s="3" t="str">
        <f t="shared" si="8"/>
        <v>Low</v>
      </c>
      <c r="AD126" s="3">
        <f t="shared" si="9"/>
        <v>3</v>
      </c>
      <c r="AE126" s="3">
        <f t="shared" si="10"/>
        <v>3</v>
      </c>
      <c r="AF126" s="3" t="s">
        <v>59</v>
      </c>
      <c r="AG126" s="3"/>
      <c r="AH126" s="3"/>
      <c r="AI126" s="3"/>
      <c r="AJ126" s="3"/>
      <c r="AK126" s="3"/>
      <c r="AL126" s="3" t="s">
        <v>60</v>
      </c>
      <c r="AM126" s="3" t="str">
        <f t="shared" si="11"/>
        <v>Must Have</v>
      </c>
    </row>
    <row r="127" spans="1:39" ht="108" hidden="1" customHeight="1" x14ac:dyDescent="0.35">
      <c r="A127" s="4">
        <v>126</v>
      </c>
      <c r="B127" s="3" t="s">
        <v>39</v>
      </c>
      <c r="C127" s="3" t="s">
        <v>1375</v>
      </c>
      <c r="D127" s="3" t="s">
        <v>639</v>
      </c>
      <c r="E127" s="3" t="s">
        <v>1376</v>
      </c>
      <c r="F127" s="3" t="s">
        <v>42</v>
      </c>
      <c r="G127" s="3" t="s">
        <v>891</v>
      </c>
      <c r="H127" s="3" t="s">
        <v>1376</v>
      </c>
      <c r="I127" s="4" t="s">
        <v>1395</v>
      </c>
      <c r="J127" s="3" t="s">
        <v>1396</v>
      </c>
      <c r="K127" s="3" t="s">
        <v>1397</v>
      </c>
      <c r="L127" s="3" t="s">
        <v>1398</v>
      </c>
      <c r="M127" s="3" t="s">
        <v>1399</v>
      </c>
      <c r="N127" s="3" t="s">
        <v>1400</v>
      </c>
      <c r="O127" s="3" t="s">
        <v>1401</v>
      </c>
      <c r="P127" s="3" t="s">
        <v>51</v>
      </c>
      <c r="Q127" s="3" t="s">
        <v>52</v>
      </c>
      <c r="R127" s="3" t="s">
        <v>154</v>
      </c>
      <c r="S127" s="3" t="s">
        <v>1213</v>
      </c>
      <c r="T127" s="3" t="s">
        <v>1214</v>
      </c>
      <c r="U127" s="3" t="s">
        <v>1402</v>
      </c>
      <c r="V127" s="3" t="s">
        <v>1216</v>
      </c>
      <c r="W127" s="3" t="s">
        <v>159</v>
      </c>
      <c r="X127" s="3">
        <f t="shared" si="6"/>
        <v>2</v>
      </c>
      <c r="Y127" s="3" t="s">
        <v>53</v>
      </c>
      <c r="Z127" s="3" t="s">
        <v>53</v>
      </c>
      <c r="AA127" s="3" t="s">
        <v>53</v>
      </c>
      <c r="AB127" s="3" t="str">
        <f t="shared" si="7"/>
        <v>Effective</v>
      </c>
      <c r="AC127" s="3" t="str">
        <f t="shared" si="8"/>
        <v>Low</v>
      </c>
      <c r="AD127" s="3">
        <f t="shared" si="9"/>
        <v>2</v>
      </c>
      <c r="AE127" s="3">
        <f t="shared" si="10"/>
        <v>2</v>
      </c>
      <c r="AF127" s="3" t="s">
        <v>59</v>
      </c>
      <c r="AG127" s="3"/>
      <c r="AH127" s="3"/>
      <c r="AI127" s="3"/>
      <c r="AJ127" s="3"/>
      <c r="AK127" s="3"/>
      <c r="AL127" s="3" t="s">
        <v>60</v>
      </c>
      <c r="AM127" s="3" t="str">
        <f t="shared" si="11"/>
        <v>Should Have</v>
      </c>
    </row>
    <row r="128" spans="1:39" ht="120" hidden="1" customHeight="1" x14ac:dyDescent="0.35">
      <c r="A128" s="4">
        <v>127</v>
      </c>
      <c r="B128" s="3" t="s">
        <v>39</v>
      </c>
      <c r="C128" s="3" t="s">
        <v>1403</v>
      </c>
      <c r="D128" s="3" t="s">
        <v>1298</v>
      </c>
      <c r="E128" s="3" t="s">
        <v>1404</v>
      </c>
      <c r="F128" s="3" t="s">
        <v>114</v>
      </c>
      <c r="G128" s="3" t="s">
        <v>891</v>
      </c>
      <c r="H128" s="3" t="s">
        <v>1404</v>
      </c>
      <c r="I128" s="4" t="s">
        <v>1405</v>
      </c>
      <c r="J128" s="3" t="s">
        <v>1406</v>
      </c>
      <c r="K128" s="3" t="s">
        <v>1407</v>
      </c>
      <c r="L128" s="3" t="s">
        <v>1408</v>
      </c>
      <c r="M128" s="3" t="s">
        <v>1409</v>
      </c>
      <c r="N128" s="3" t="s">
        <v>1410</v>
      </c>
      <c r="O128" s="3" t="s">
        <v>1411</v>
      </c>
      <c r="P128" s="3" t="s">
        <v>51</v>
      </c>
      <c r="Q128" s="3" t="s">
        <v>153</v>
      </c>
      <c r="R128" s="3" t="s">
        <v>53</v>
      </c>
      <c r="S128" s="3" t="s">
        <v>1412</v>
      </c>
      <c r="T128" s="3" t="s">
        <v>68</v>
      </c>
      <c r="U128" s="3" t="s">
        <v>1413</v>
      </c>
      <c r="V128" s="3" t="s">
        <v>1414</v>
      </c>
      <c r="W128" s="3" t="s">
        <v>978</v>
      </c>
      <c r="X128" s="3">
        <f t="shared" si="6"/>
        <v>4</v>
      </c>
      <c r="Y128" s="3" t="s">
        <v>53</v>
      </c>
      <c r="Z128" s="3" t="s">
        <v>53</v>
      </c>
      <c r="AA128" s="3" t="s">
        <v>53</v>
      </c>
      <c r="AB128" s="3" t="str">
        <f t="shared" si="7"/>
        <v>Effective</v>
      </c>
      <c r="AC128" s="3" t="str">
        <f t="shared" si="8"/>
        <v>Medium</v>
      </c>
      <c r="AD128" s="3">
        <f t="shared" si="9"/>
        <v>4</v>
      </c>
      <c r="AE128" s="3">
        <f t="shared" si="10"/>
        <v>4</v>
      </c>
      <c r="AF128" s="3" t="s">
        <v>59</v>
      </c>
      <c r="AG128" s="3"/>
      <c r="AH128" s="3"/>
      <c r="AI128" s="3"/>
      <c r="AJ128" s="3"/>
      <c r="AK128" s="3"/>
      <c r="AL128" s="3" t="s">
        <v>60</v>
      </c>
      <c r="AM128" s="3" t="str">
        <f t="shared" si="11"/>
        <v>Must Have</v>
      </c>
    </row>
    <row r="129" spans="1:39" ht="108" hidden="1" customHeight="1" x14ac:dyDescent="0.35">
      <c r="A129" s="4">
        <v>128</v>
      </c>
      <c r="B129" s="3" t="s">
        <v>39</v>
      </c>
      <c r="C129" s="3" t="s">
        <v>1403</v>
      </c>
      <c r="D129" s="3" t="s">
        <v>1298</v>
      </c>
      <c r="E129" s="3" t="s">
        <v>1404</v>
      </c>
      <c r="F129" s="3" t="s">
        <v>114</v>
      </c>
      <c r="G129" s="3" t="s">
        <v>891</v>
      </c>
      <c r="H129" s="3" t="s">
        <v>1404</v>
      </c>
      <c r="I129" s="4" t="s">
        <v>1405</v>
      </c>
      <c r="J129" s="3" t="s">
        <v>1415</v>
      </c>
      <c r="K129" s="3" t="s">
        <v>1416</v>
      </c>
      <c r="L129" s="3" t="s">
        <v>1417</v>
      </c>
      <c r="M129" s="3" t="s">
        <v>1418</v>
      </c>
      <c r="N129" s="3" t="s">
        <v>1419</v>
      </c>
      <c r="O129" s="3" t="s">
        <v>1420</v>
      </c>
      <c r="P129" s="3" t="s">
        <v>122</v>
      </c>
      <c r="Q129" s="3" t="s">
        <v>52</v>
      </c>
      <c r="R129" s="3" t="s">
        <v>53</v>
      </c>
      <c r="S129" s="3" t="s">
        <v>1412</v>
      </c>
      <c r="T129" s="3" t="s">
        <v>68</v>
      </c>
      <c r="U129" s="3" t="s">
        <v>1421</v>
      </c>
      <c r="V129" s="3" t="s">
        <v>1422</v>
      </c>
      <c r="W129" s="3" t="s">
        <v>978</v>
      </c>
      <c r="X129" s="3">
        <f t="shared" si="6"/>
        <v>4</v>
      </c>
      <c r="Y129" s="3" t="s">
        <v>53</v>
      </c>
      <c r="Z129" s="3" t="s">
        <v>53</v>
      </c>
      <c r="AA129" s="3" t="s">
        <v>53</v>
      </c>
      <c r="AB129" s="3" t="str">
        <f t="shared" si="7"/>
        <v>Effective</v>
      </c>
      <c r="AC129" s="3" t="str">
        <f t="shared" si="8"/>
        <v>Medium</v>
      </c>
      <c r="AD129" s="3">
        <f t="shared" si="9"/>
        <v>4</v>
      </c>
      <c r="AE129" s="3">
        <f t="shared" si="10"/>
        <v>4</v>
      </c>
      <c r="AF129" s="3" t="s">
        <v>59</v>
      </c>
      <c r="AG129" s="3"/>
      <c r="AH129" s="3"/>
      <c r="AI129" s="3"/>
      <c r="AJ129" s="3"/>
      <c r="AK129" s="3"/>
      <c r="AL129" s="3" t="s">
        <v>60</v>
      </c>
      <c r="AM129" s="3" t="str">
        <f t="shared" si="11"/>
        <v>Must Have</v>
      </c>
    </row>
    <row r="130" spans="1:39" ht="120" hidden="1" customHeight="1" x14ac:dyDescent="0.35">
      <c r="A130" s="4">
        <v>129</v>
      </c>
      <c r="B130" s="3" t="s">
        <v>39</v>
      </c>
      <c r="C130" s="3" t="s">
        <v>1423</v>
      </c>
      <c r="D130" s="3" t="s">
        <v>1298</v>
      </c>
      <c r="E130" s="3" t="s">
        <v>1424</v>
      </c>
      <c r="F130" s="3" t="s">
        <v>114</v>
      </c>
      <c r="G130" s="3" t="s">
        <v>891</v>
      </c>
      <c r="H130" s="3" t="s">
        <v>1424</v>
      </c>
      <c r="I130" s="4" t="s">
        <v>1425</v>
      </c>
      <c r="J130" s="3" t="s">
        <v>1426</v>
      </c>
      <c r="K130" s="3" t="s">
        <v>1427</v>
      </c>
      <c r="L130" s="3" t="s">
        <v>1428</v>
      </c>
      <c r="M130" s="3" t="s">
        <v>1429</v>
      </c>
      <c r="N130" s="3" t="s">
        <v>1430</v>
      </c>
      <c r="O130" s="3" t="s">
        <v>1431</v>
      </c>
      <c r="P130" s="3" t="s">
        <v>122</v>
      </c>
      <c r="Q130" s="3" t="s">
        <v>153</v>
      </c>
      <c r="R130" s="3" t="s">
        <v>53</v>
      </c>
      <c r="S130" s="3" t="s">
        <v>1432</v>
      </c>
      <c r="T130" s="3" t="s">
        <v>68</v>
      </c>
      <c r="U130" s="3" t="s">
        <v>1433</v>
      </c>
      <c r="V130" s="3" t="s">
        <v>1434</v>
      </c>
      <c r="W130" s="3" t="s">
        <v>58</v>
      </c>
      <c r="X130" s="3">
        <f t="shared" ref="X130:X193" si="12">IF(W130="","",IF(W130="Critical",4,IF(W130="High",3,IF(W130="Medium",2,IF(W130="Low",1,"")))))</f>
        <v>3</v>
      </c>
      <c r="Y130" s="3" t="s">
        <v>53</v>
      </c>
      <c r="Z130" s="3" t="s">
        <v>53</v>
      </c>
      <c r="AA130" s="3" t="s">
        <v>53</v>
      </c>
      <c r="AB130" s="3" t="str">
        <f t="shared" ref="AB130:AB193" si="13">IF(OR(Y130="",Z130=""),"",IF(AND(Y130="Y",Z130="Y"),"Effective",IF(AND(Y130="N",Z130="N"),"Ineffective","Partially Effective")))</f>
        <v>Effective</v>
      </c>
      <c r="AC130" s="3" t="str">
        <f t="shared" ref="AC130:AC193" si="14">IF(OR(W130="",AB130=""),"",IF(AB130="Effective",IF(W130="Critical","Medium","Low"),IF(AB130="Partially Effective",IF(W130="Critical","High",IF(W130="High","Medium",W130)),W130)))</f>
        <v>Low</v>
      </c>
      <c r="AD130" s="3">
        <f t="shared" ref="AD130:AD193" si="15">IF(OR(AA130="",AA130="NA",X130=""),"",IF(AA130="Y",X130,IF(AA130="P",X130*0.5,IF(AA130="N",0,""))))</f>
        <v>3</v>
      </c>
      <c r="AE130" s="3">
        <f t="shared" ref="AE130:AE193" si="16">IF(OR(AA130="",AA130="NA",X130=""),"",X130)</f>
        <v>3</v>
      </c>
      <c r="AF130" s="3" t="s">
        <v>59</v>
      </c>
      <c r="AG130" s="3"/>
      <c r="AH130" s="3"/>
      <c r="AI130" s="3"/>
      <c r="AJ130" s="3"/>
      <c r="AK130" s="3"/>
      <c r="AL130" s="3" t="s">
        <v>60</v>
      </c>
      <c r="AM130" s="3" t="str">
        <f t="shared" ref="AM130:AM193" si="17">IF(OR(W130="",R130=""),"",IF(AND(R130="Y",OR(W130="Critical",W130="High")),"Must Have","Should Have"))</f>
        <v>Must Have</v>
      </c>
    </row>
    <row r="131" spans="1:39" ht="120" hidden="1" customHeight="1" x14ac:dyDescent="0.35">
      <c r="A131" s="4">
        <v>130</v>
      </c>
      <c r="B131" s="3" t="s">
        <v>39</v>
      </c>
      <c r="C131" s="3" t="s">
        <v>1423</v>
      </c>
      <c r="D131" s="3" t="s">
        <v>1298</v>
      </c>
      <c r="E131" s="3" t="s">
        <v>1424</v>
      </c>
      <c r="F131" s="3" t="s">
        <v>114</v>
      </c>
      <c r="G131" s="3" t="s">
        <v>891</v>
      </c>
      <c r="H131" s="3" t="s">
        <v>1424</v>
      </c>
      <c r="I131" s="4" t="s">
        <v>1425</v>
      </c>
      <c r="J131" s="3" t="s">
        <v>1435</v>
      </c>
      <c r="K131" s="3" t="s">
        <v>1436</v>
      </c>
      <c r="L131" s="3" t="s">
        <v>1437</v>
      </c>
      <c r="M131" s="3" t="s">
        <v>1438</v>
      </c>
      <c r="N131" s="3" t="s">
        <v>1439</v>
      </c>
      <c r="O131" s="3" t="s">
        <v>1440</v>
      </c>
      <c r="P131" s="3" t="s">
        <v>122</v>
      </c>
      <c r="Q131" s="3" t="s">
        <v>52</v>
      </c>
      <c r="R131" s="3" t="s">
        <v>53</v>
      </c>
      <c r="S131" s="3" t="s">
        <v>1441</v>
      </c>
      <c r="T131" s="3" t="s">
        <v>1139</v>
      </c>
      <c r="U131" s="3" t="s">
        <v>1442</v>
      </c>
      <c r="V131" s="3" t="s">
        <v>1443</v>
      </c>
      <c r="W131" s="3" t="s">
        <v>58</v>
      </c>
      <c r="X131" s="3">
        <f t="shared" si="12"/>
        <v>3</v>
      </c>
      <c r="Y131" s="3" t="s">
        <v>53</v>
      </c>
      <c r="Z131" s="3" t="s">
        <v>53</v>
      </c>
      <c r="AA131" s="3" t="s">
        <v>53</v>
      </c>
      <c r="AB131" s="3" t="str">
        <f t="shared" si="13"/>
        <v>Effective</v>
      </c>
      <c r="AC131" s="3" t="str">
        <f t="shared" si="14"/>
        <v>Low</v>
      </c>
      <c r="AD131" s="3">
        <f t="shared" si="15"/>
        <v>3</v>
      </c>
      <c r="AE131" s="3">
        <f t="shared" si="16"/>
        <v>3</v>
      </c>
      <c r="AF131" s="3" t="s">
        <v>59</v>
      </c>
      <c r="AG131" s="3"/>
      <c r="AH131" s="3"/>
      <c r="AI131" s="3"/>
      <c r="AJ131" s="3"/>
      <c r="AK131" s="3"/>
      <c r="AL131" s="3" t="s">
        <v>60</v>
      </c>
      <c r="AM131" s="3" t="str">
        <f t="shared" si="17"/>
        <v>Must Have</v>
      </c>
    </row>
    <row r="132" spans="1:39" ht="120" customHeight="1" x14ac:dyDescent="0.35">
      <c r="A132" s="4">
        <v>131</v>
      </c>
      <c r="B132" s="3" t="s">
        <v>39</v>
      </c>
      <c r="C132" s="3" t="s">
        <v>1444</v>
      </c>
      <c r="D132" s="3" t="s">
        <v>112</v>
      </c>
      <c r="E132" s="3" t="s">
        <v>1445</v>
      </c>
      <c r="F132" s="3" t="s">
        <v>114</v>
      </c>
      <c r="G132" s="3" t="s">
        <v>1446</v>
      </c>
      <c r="H132" s="3" t="s">
        <v>1445</v>
      </c>
      <c r="I132" s="4" t="s">
        <v>1447</v>
      </c>
      <c r="J132" s="3" t="s">
        <v>1448</v>
      </c>
      <c r="K132" s="3" t="s">
        <v>1449</v>
      </c>
      <c r="L132" s="3" t="s">
        <v>1450</v>
      </c>
      <c r="M132" s="3" t="s">
        <v>1451</v>
      </c>
      <c r="N132" s="3" t="s">
        <v>1452</v>
      </c>
      <c r="O132" s="3" t="s">
        <v>1453</v>
      </c>
      <c r="P132" s="3" t="s">
        <v>122</v>
      </c>
      <c r="Q132" s="3" t="s">
        <v>153</v>
      </c>
      <c r="R132" s="3" t="s">
        <v>53</v>
      </c>
      <c r="S132" s="3" t="s">
        <v>1454</v>
      </c>
      <c r="T132" s="3" t="s">
        <v>68</v>
      </c>
      <c r="U132" s="3" t="s">
        <v>1455</v>
      </c>
      <c r="V132" s="3" t="s">
        <v>1456</v>
      </c>
      <c r="W132" s="3" t="s">
        <v>58</v>
      </c>
      <c r="X132" s="3">
        <f t="shared" si="12"/>
        <v>3</v>
      </c>
      <c r="Y132" s="3" t="s">
        <v>53</v>
      </c>
      <c r="Z132" s="3" t="s">
        <v>53</v>
      </c>
      <c r="AA132" s="3" t="s">
        <v>53</v>
      </c>
      <c r="AB132" s="3" t="str">
        <f t="shared" si="13"/>
        <v>Effective</v>
      </c>
      <c r="AC132" s="3" t="str">
        <f t="shared" si="14"/>
        <v>Low</v>
      </c>
      <c r="AD132" s="3">
        <f t="shared" si="15"/>
        <v>3</v>
      </c>
      <c r="AE132" s="3">
        <f t="shared" si="16"/>
        <v>3</v>
      </c>
      <c r="AF132" s="3" t="s">
        <v>59</v>
      </c>
      <c r="AG132" s="3"/>
      <c r="AH132" s="3"/>
      <c r="AI132" s="3"/>
      <c r="AJ132" s="3"/>
      <c r="AK132" s="3"/>
      <c r="AL132" s="3" t="s">
        <v>60</v>
      </c>
      <c r="AM132" s="3" t="str">
        <f t="shared" si="17"/>
        <v>Must Have</v>
      </c>
    </row>
    <row r="133" spans="1:39" ht="108" hidden="1" customHeight="1" x14ac:dyDescent="0.35">
      <c r="A133" s="4">
        <v>132</v>
      </c>
      <c r="B133" s="3" t="s">
        <v>39</v>
      </c>
      <c r="C133" s="3" t="s">
        <v>1444</v>
      </c>
      <c r="D133" s="3" t="s">
        <v>112</v>
      </c>
      <c r="E133" s="3" t="s">
        <v>1445</v>
      </c>
      <c r="F133" s="3" t="s">
        <v>114</v>
      </c>
      <c r="G133" s="3" t="s">
        <v>891</v>
      </c>
      <c r="H133" s="3" t="s">
        <v>1445</v>
      </c>
      <c r="I133" s="4" t="s">
        <v>1447</v>
      </c>
      <c r="J133" s="3" t="s">
        <v>1457</v>
      </c>
      <c r="K133" s="3" t="s">
        <v>1458</v>
      </c>
      <c r="L133" s="3" t="s">
        <v>1459</v>
      </c>
      <c r="M133" s="3" t="s">
        <v>1460</v>
      </c>
      <c r="N133" s="3" t="s">
        <v>1461</v>
      </c>
      <c r="O133" s="3" t="s">
        <v>1462</v>
      </c>
      <c r="P133" s="3" t="s">
        <v>122</v>
      </c>
      <c r="Q133" s="3" t="s">
        <v>52</v>
      </c>
      <c r="R133" s="3" t="s">
        <v>53</v>
      </c>
      <c r="S133" s="3" t="s">
        <v>1463</v>
      </c>
      <c r="T133" s="3" t="s">
        <v>920</v>
      </c>
      <c r="U133" s="3" t="s">
        <v>1464</v>
      </c>
      <c r="V133" s="3" t="s">
        <v>1465</v>
      </c>
      <c r="W133" s="3" t="s">
        <v>58</v>
      </c>
      <c r="X133" s="3">
        <f t="shared" si="12"/>
        <v>3</v>
      </c>
      <c r="Y133" s="3" t="s">
        <v>53</v>
      </c>
      <c r="Z133" s="3" t="s">
        <v>53</v>
      </c>
      <c r="AA133" s="3" t="s">
        <v>53</v>
      </c>
      <c r="AB133" s="3" t="str">
        <f t="shared" si="13"/>
        <v>Effective</v>
      </c>
      <c r="AC133" s="3" t="str">
        <f t="shared" si="14"/>
        <v>Low</v>
      </c>
      <c r="AD133" s="3">
        <f t="shared" si="15"/>
        <v>3</v>
      </c>
      <c r="AE133" s="3">
        <f t="shared" si="16"/>
        <v>3</v>
      </c>
      <c r="AF133" s="3" t="s">
        <v>59</v>
      </c>
      <c r="AG133" s="3"/>
      <c r="AH133" s="3"/>
      <c r="AI133" s="3"/>
      <c r="AJ133" s="3"/>
      <c r="AK133" s="3"/>
      <c r="AL133" s="3" t="s">
        <v>60</v>
      </c>
      <c r="AM133" s="3" t="str">
        <f t="shared" si="17"/>
        <v>Must Have</v>
      </c>
    </row>
    <row r="134" spans="1:39" ht="108" hidden="1" customHeight="1" x14ac:dyDescent="0.35">
      <c r="A134" s="4">
        <v>133</v>
      </c>
      <c r="B134" s="3" t="s">
        <v>39</v>
      </c>
      <c r="C134" s="3" t="s">
        <v>1444</v>
      </c>
      <c r="D134" s="3" t="s">
        <v>112</v>
      </c>
      <c r="E134" s="3" t="s">
        <v>1445</v>
      </c>
      <c r="F134" s="3" t="s">
        <v>114</v>
      </c>
      <c r="G134" s="3" t="s">
        <v>891</v>
      </c>
      <c r="H134" s="3" t="s">
        <v>1445</v>
      </c>
      <c r="I134" s="4" t="s">
        <v>1447</v>
      </c>
      <c r="J134" s="3" t="s">
        <v>1466</v>
      </c>
      <c r="K134" s="3" t="s">
        <v>1467</v>
      </c>
      <c r="L134" s="3" t="s">
        <v>1468</v>
      </c>
      <c r="M134" s="3" t="s">
        <v>1469</v>
      </c>
      <c r="N134" s="3" t="s">
        <v>1470</v>
      </c>
      <c r="O134" s="3" t="s">
        <v>1471</v>
      </c>
      <c r="P134" s="3" t="s">
        <v>206</v>
      </c>
      <c r="Q134" s="3" t="s">
        <v>153</v>
      </c>
      <c r="R134" s="3" t="s">
        <v>53</v>
      </c>
      <c r="S134" s="3" t="s">
        <v>1472</v>
      </c>
      <c r="T134" s="3" t="s">
        <v>920</v>
      </c>
      <c r="U134" s="3" t="s">
        <v>1473</v>
      </c>
      <c r="V134" s="3" t="s">
        <v>1474</v>
      </c>
      <c r="W134" s="3" t="s">
        <v>58</v>
      </c>
      <c r="X134" s="3">
        <f t="shared" si="12"/>
        <v>3</v>
      </c>
      <c r="Y134" s="3" t="s">
        <v>53</v>
      </c>
      <c r="Z134" s="3" t="s">
        <v>53</v>
      </c>
      <c r="AA134" s="3" t="s">
        <v>53</v>
      </c>
      <c r="AB134" s="3" t="str">
        <f t="shared" si="13"/>
        <v>Effective</v>
      </c>
      <c r="AC134" s="3" t="str">
        <f t="shared" si="14"/>
        <v>Low</v>
      </c>
      <c r="AD134" s="3">
        <f t="shared" si="15"/>
        <v>3</v>
      </c>
      <c r="AE134" s="3">
        <f t="shared" si="16"/>
        <v>3</v>
      </c>
      <c r="AF134" s="3" t="s">
        <v>59</v>
      </c>
      <c r="AG134" s="3"/>
      <c r="AH134" s="3"/>
      <c r="AI134" s="3"/>
      <c r="AJ134" s="3"/>
      <c r="AK134" s="3"/>
      <c r="AL134" s="3" t="s">
        <v>60</v>
      </c>
      <c r="AM134" s="3" t="str">
        <f t="shared" si="17"/>
        <v>Must Have</v>
      </c>
    </row>
    <row r="135" spans="1:39" ht="120" hidden="1" customHeight="1" x14ac:dyDescent="0.35">
      <c r="A135" s="4">
        <v>134</v>
      </c>
      <c r="B135" s="3" t="s">
        <v>39</v>
      </c>
      <c r="C135" s="3" t="s">
        <v>1475</v>
      </c>
      <c r="D135" s="3" t="s">
        <v>365</v>
      </c>
      <c r="E135" s="3" t="s">
        <v>1476</v>
      </c>
      <c r="F135" s="3" t="s">
        <v>114</v>
      </c>
      <c r="G135" s="3" t="s">
        <v>891</v>
      </c>
      <c r="H135" s="3" t="s">
        <v>1476</v>
      </c>
      <c r="I135" s="4" t="s">
        <v>1477</v>
      </c>
      <c r="J135" s="3" t="s">
        <v>1478</v>
      </c>
      <c r="K135" s="3" t="s">
        <v>1479</v>
      </c>
      <c r="L135" s="3" t="s">
        <v>1480</v>
      </c>
      <c r="M135" s="3" t="s">
        <v>1481</v>
      </c>
      <c r="N135" s="3" t="s">
        <v>1482</v>
      </c>
      <c r="O135" s="3" t="s">
        <v>1483</v>
      </c>
      <c r="P135" s="3" t="s">
        <v>122</v>
      </c>
      <c r="Q135" s="3" t="s">
        <v>153</v>
      </c>
      <c r="R135" s="3" t="s">
        <v>53</v>
      </c>
      <c r="S135" s="3" t="s">
        <v>1476</v>
      </c>
      <c r="T135" s="3" t="s">
        <v>1484</v>
      </c>
      <c r="U135" s="3" t="s">
        <v>1485</v>
      </c>
      <c r="V135" s="3" t="s">
        <v>1486</v>
      </c>
      <c r="W135" s="3" t="s">
        <v>58</v>
      </c>
      <c r="X135" s="3">
        <f t="shared" si="12"/>
        <v>3</v>
      </c>
      <c r="Y135" s="3" t="s">
        <v>53</v>
      </c>
      <c r="Z135" s="3" t="s">
        <v>53</v>
      </c>
      <c r="AA135" s="3" t="s">
        <v>53</v>
      </c>
      <c r="AB135" s="3" t="str">
        <f t="shared" si="13"/>
        <v>Effective</v>
      </c>
      <c r="AC135" s="3" t="str">
        <f t="shared" si="14"/>
        <v>Low</v>
      </c>
      <c r="AD135" s="3">
        <f t="shared" si="15"/>
        <v>3</v>
      </c>
      <c r="AE135" s="3">
        <f t="shared" si="16"/>
        <v>3</v>
      </c>
      <c r="AF135" s="3" t="s">
        <v>59</v>
      </c>
      <c r="AG135" s="3"/>
      <c r="AH135" s="3"/>
      <c r="AI135" s="3"/>
      <c r="AJ135" s="3"/>
      <c r="AK135" s="3"/>
      <c r="AL135" s="3" t="s">
        <v>60</v>
      </c>
      <c r="AM135" s="3" t="str">
        <f t="shared" si="17"/>
        <v>Must Have</v>
      </c>
    </row>
    <row r="136" spans="1:39" ht="120" customHeight="1" x14ac:dyDescent="0.35">
      <c r="A136" s="4">
        <v>135</v>
      </c>
      <c r="B136" s="3" t="s">
        <v>39</v>
      </c>
      <c r="C136" s="3" t="s">
        <v>1475</v>
      </c>
      <c r="D136" s="3" t="s">
        <v>365</v>
      </c>
      <c r="E136" s="3" t="s">
        <v>1476</v>
      </c>
      <c r="F136" s="3" t="s">
        <v>114</v>
      </c>
      <c r="G136" s="3" t="s">
        <v>1487</v>
      </c>
      <c r="H136" s="3" t="s">
        <v>1476</v>
      </c>
      <c r="I136" s="4" t="s">
        <v>1488</v>
      </c>
      <c r="J136" s="3" t="s">
        <v>1489</v>
      </c>
      <c r="K136" s="3" t="s">
        <v>1490</v>
      </c>
      <c r="L136" s="3" t="s">
        <v>1491</v>
      </c>
      <c r="M136" s="3" t="s">
        <v>1492</v>
      </c>
      <c r="N136" s="3" t="s">
        <v>1493</v>
      </c>
      <c r="O136" s="3" t="s">
        <v>1494</v>
      </c>
      <c r="P136" s="3" t="s">
        <v>122</v>
      </c>
      <c r="Q136" s="3" t="s">
        <v>52</v>
      </c>
      <c r="R136" s="3" t="s">
        <v>53</v>
      </c>
      <c r="S136" s="3" t="s">
        <v>1495</v>
      </c>
      <c r="T136" s="3" t="s">
        <v>1160</v>
      </c>
      <c r="U136" s="3" t="s">
        <v>1496</v>
      </c>
      <c r="V136" s="3" t="s">
        <v>1497</v>
      </c>
      <c r="W136" s="3" t="s">
        <v>978</v>
      </c>
      <c r="X136" s="3">
        <f t="shared" si="12"/>
        <v>4</v>
      </c>
      <c r="Y136" s="3" t="s">
        <v>53</v>
      </c>
      <c r="Z136" s="3" t="s">
        <v>53</v>
      </c>
      <c r="AA136" s="3" t="s">
        <v>53</v>
      </c>
      <c r="AB136" s="3" t="str">
        <f t="shared" si="13"/>
        <v>Effective</v>
      </c>
      <c r="AC136" s="3" t="str">
        <f t="shared" si="14"/>
        <v>Medium</v>
      </c>
      <c r="AD136" s="3">
        <f t="shared" si="15"/>
        <v>4</v>
      </c>
      <c r="AE136" s="3">
        <f t="shared" si="16"/>
        <v>4</v>
      </c>
      <c r="AF136" s="3" t="s">
        <v>59</v>
      </c>
      <c r="AG136" s="3"/>
      <c r="AH136" s="3"/>
      <c r="AI136" s="3"/>
      <c r="AJ136" s="3"/>
      <c r="AK136" s="3"/>
      <c r="AL136" s="3" t="s">
        <v>60</v>
      </c>
      <c r="AM136" s="3" t="str">
        <f t="shared" si="17"/>
        <v>Must Have</v>
      </c>
    </row>
    <row r="137" spans="1:39" ht="108" hidden="1" customHeight="1" x14ac:dyDescent="0.35">
      <c r="A137" s="4">
        <v>136</v>
      </c>
      <c r="B137" s="3" t="s">
        <v>39</v>
      </c>
      <c r="C137" s="3" t="s">
        <v>1475</v>
      </c>
      <c r="D137" s="3" t="s">
        <v>365</v>
      </c>
      <c r="E137" s="3" t="s">
        <v>1476</v>
      </c>
      <c r="F137" s="3" t="s">
        <v>114</v>
      </c>
      <c r="G137" s="3" t="s">
        <v>891</v>
      </c>
      <c r="H137" s="3" t="s">
        <v>1476</v>
      </c>
      <c r="I137" s="4" t="s">
        <v>1477</v>
      </c>
      <c r="J137" s="3" t="s">
        <v>1498</v>
      </c>
      <c r="K137" s="3" t="s">
        <v>1499</v>
      </c>
      <c r="L137" s="3" t="s">
        <v>1500</v>
      </c>
      <c r="M137" s="3" t="s">
        <v>1501</v>
      </c>
      <c r="N137" s="3" t="s">
        <v>1502</v>
      </c>
      <c r="O137" s="3" t="s">
        <v>1503</v>
      </c>
      <c r="P137" s="3" t="s">
        <v>122</v>
      </c>
      <c r="Q137" s="3" t="s">
        <v>52</v>
      </c>
      <c r="R137" s="3" t="s">
        <v>53</v>
      </c>
      <c r="S137" s="3" t="s">
        <v>1504</v>
      </c>
      <c r="T137" s="3" t="s">
        <v>920</v>
      </c>
      <c r="U137" s="3" t="s">
        <v>1505</v>
      </c>
      <c r="V137" s="3" t="s">
        <v>1506</v>
      </c>
      <c r="W137" s="3" t="s">
        <v>58</v>
      </c>
      <c r="X137" s="3">
        <f t="shared" si="12"/>
        <v>3</v>
      </c>
      <c r="Y137" s="3" t="s">
        <v>53</v>
      </c>
      <c r="Z137" s="3" t="s">
        <v>53</v>
      </c>
      <c r="AA137" s="3" t="s">
        <v>53</v>
      </c>
      <c r="AB137" s="3" t="str">
        <f t="shared" si="13"/>
        <v>Effective</v>
      </c>
      <c r="AC137" s="3" t="str">
        <f t="shared" si="14"/>
        <v>Low</v>
      </c>
      <c r="AD137" s="3">
        <f t="shared" si="15"/>
        <v>3</v>
      </c>
      <c r="AE137" s="3">
        <f t="shared" si="16"/>
        <v>3</v>
      </c>
      <c r="AF137" s="3" t="s">
        <v>59</v>
      </c>
      <c r="AG137" s="3"/>
      <c r="AH137" s="3"/>
      <c r="AI137" s="3"/>
      <c r="AJ137" s="3"/>
      <c r="AK137" s="3"/>
      <c r="AL137" s="3" t="s">
        <v>60</v>
      </c>
      <c r="AM137" s="3" t="str">
        <f t="shared" si="17"/>
        <v>Must Have</v>
      </c>
    </row>
    <row r="138" spans="1:39" ht="120" hidden="1" customHeight="1" x14ac:dyDescent="0.35">
      <c r="A138" s="4">
        <v>137</v>
      </c>
      <c r="B138" s="3" t="s">
        <v>39</v>
      </c>
      <c r="C138" s="3" t="s">
        <v>1475</v>
      </c>
      <c r="D138" s="3" t="s">
        <v>365</v>
      </c>
      <c r="E138" s="3" t="s">
        <v>1476</v>
      </c>
      <c r="F138" s="3" t="s">
        <v>114</v>
      </c>
      <c r="G138" s="3" t="s">
        <v>891</v>
      </c>
      <c r="H138" s="3" t="s">
        <v>1476</v>
      </c>
      <c r="I138" s="4" t="s">
        <v>1477</v>
      </c>
      <c r="J138" s="3" t="s">
        <v>1507</v>
      </c>
      <c r="K138" s="3" t="s">
        <v>1508</v>
      </c>
      <c r="L138" s="3" t="s">
        <v>1509</v>
      </c>
      <c r="M138" s="3" t="s">
        <v>1510</v>
      </c>
      <c r="N138" s="3" t="s">
        <v>1511</v>
      </c>
      <c r="O138" s="3" t="s">
        <v>1512</v>
      </c>
      <c r="P138" s="3" t="s">
        <v>206</v>
      </c>
      <c r="Q138" s="3" t="s">
        <v>153</v>
      </c>
      <c r="R138" s="3" t="s">
        <v>53</v>
      </c>
      <c r="S138" s="3" t="s">
        <v>1513</v>
      </c>
      <c r="T138" s="3" t="s">
        <v>920</v>
      </c>
      <c r="U138" s="3" t="s">
        <v>1514</v>
      </c>
      <c r="V138" s="3" t="s">
        <v>1515</v>
      </c>
      <c r="W138" s="3" t="s">
        <v>58</v>
      </c>
      <c r="X138" s="3">
        <f t="shared" si="12"/>
        <v>3</v>
      </c>
      <c r="Y138" s="3" t="s">
        <v>53</v>
      </c>
      <c r="Z138" s="3" t="s">
        <v>53</v>
      </c>
      <c r="AA138" s="3" t="s">
        <v>53</v>
      </c>
      <c r="AB138" s="3" t="str">
        <f t="shared" si="13"/>
        <v>Effective</v>
      </c>
      <c r="AC138" s="3" t="str">
        <f t="shared" si="14"/>
        <v>Low</v>
      </c>
      <c r="AD138" s="3">
        <f t="shared" si="15"/>
        <v>3</v>
      </c>
      <c r="AE138" s="3">
        <f t="shared" si="16"/>
        <v>3</v>
      </c>
      <c r="AF138" s="3" t="s">
        <v>59</v>
      </c>
      <c r="AG138" s="3"/>
      <c r="AH138" s="3"/>
      <c r="AI138" s="3"/>
      <c r="AJ138" s="3"/>
      <c r="AK138" s="3"/>
      <c r="AL138" s="3" t="s">
        <v>60</v>
      </c>
      <c r="AM138" s="3" t="str">
        <f t="shared" si="17"/>
        <v>Must Have</v>
      </c>
    </row>
    <row r="139" spans="1:39" ht="120" hidden="1" customHeight="1" x14ac:dyDescent="0.35">
      <c r="A139" s="4">
        <v>138</v>
      </c>
      <c r="B139" s="3" t="s">
        <v>39</v>
      </c>
      <c r="C139" s="3" t="s">
        <v>1516</v>
      </c>
      <c r="D139" s="3" t="s">
        <v>729</v>
      </c>
      <c r="E139" s="3" t="s">
        <v>1517</v>
      </c>
      <c r="F139" s="3" t="s">
        <v>114</v>
      </c>
      <c r="G139" s="3" t="s">
        <v>891</v>
      </c>
      <c r="H139" s="3" t="s">
        <v>1517</v>
      </c>
      <c r="I139" s="4" t="s">
        <v>1518</v>
      </c>
      <c r="J139" s="3" t="s">
        <v>1519</v>
      </c>
      <c r="K139" s="3" t="s">
        <v>1520</v>
      </c>
      <c r="L139" s="3" t="s">
        <v>1521</v>
      </c>
      <c r="M139" s="3" t="s">
        <v>1522</v>
      </c>
      <c r="N139" s="3" t="s">
        <v>1523</v>
      </c>
      <c r="O139" s="3" t="s">
        <v>1524</v>
      </c>
      <c r="P139" s="3" t="s">
        <v>51</v>
      </c>
      <c r="Q139" s="3" t="s">
        <v>52</v>
      </c>
      <c r="R139" s="3" t="s">
        <v>53</v>
      </c>
      <c r="S139" s="3" t="s">
        <v>919</v>
      </c>
      <c r="T139" s="3" t="s">
        <v>920</v>
      </c>
      <c r="U139" s="3" t="s">
        <v>1525</v>
      </c>
      <c r="V139" s="3" t="s">
        <v>922</v>
      </c>
      <c r="W139" s="3" t="s">
        <v>58</v>
      </c>
      <c r="X139" s="3">
        <f t="shared" si="12"/>
        <v>3</v>
      </c>
      <c r="Y139" s="3" t="s">
        <v>53</v>
      </c>
      <c r="Z139" s="3" t="s">
        <v>53</v>
      </c>
      <c r="AA139" s="3" t="s">
        <v>53</v>
      </c>
      <c r="AB139" s="3" t="str">
        <f t="shared" si="13"/>
        <v>Effective</v>
      </c>
      <c r="AC139" s="3" t="str">
        <f t="shared" si="14"/>
        <v>Low</v>
      </c>
      <c r="AD139" s="3">
        <f t="shared" si="15"/>
        <v>3</v>
      </c>
      <c r="AE139" s="3">
        <f t="shared" si="16"/>
        <v>3</v>
      </c>
      <c r="AF139" s="3" t="s">
        <v>59</v>
      </c>
      <c r="AG139" s="3"/>
      <c r="AH139" s="3"/>
      <c r="AI139" s="3"/>
      <c r="AJ139" s="3"/>
      <c r="AK139" s="3"/>
      <c r="AL139" s="3" t="s">
        <v>60</v>
      </c>
      <c r="AM139" s="3" t="str">
        <f t="shared" si="17"/>
        <v>Must Have</v>
      </c>
    </row>
    <row r="140" spans="1:39" ht="120" hidden="1" customHeight="1" x14ac:dyDescent="0.35">
      <c r="A140" s="4">
        <v>139</v>
      </c>
      <c r="B140" s="3" t="s">
        <v>39</v>
      </c>
      <c r="C140" s="3" t="s">
        <v>1516</v>
      </c>
      <c r="D140" s="3" t="s">
        <v>729</v>
      </c>
      <c r="E140" s="3" t="s">
        <v>1517</v>
      </c>
      <c r="F140" s="3" t="s">
        <v>42</v>
      </c>
      <c r="G140" s="3" t="s">
        <v>891</v>
      </c>
      <c r="H140" s="3" t="s">
        <v>1517</v>
      </c>
      <c r="I140" s="4" t="s">
        <v>1526</v>
      </c>
      <c r="J140" s="3" t="s">
        <v>1527</v>
      </c>
      <c r="K140" s="3" t="s">
        <v>1528</v>
      </c>
      <c r="L140" s="3" t="s">
        <v>1529</v>
      </c>
      <c r="M140" s="3" t="s">
        <v>1530</v>
      </c>
      <c r="N140" s="3" t="s">
        <v>1531</v>
      </c>
      <c r="O140" s="3" t="s">
        <v>1532</v>
      </c>
      <c r="P140" s="3" t="s">
        <v>51</v>
      </c>
      <c r="Q140" s="3" t="s">
        <v>153</v>
      </c>
      <c r="R140" s="3" t="s">
        <v>53</v>
      </c>
      <c r="S140" s="3" t="s">
        <v>1105</v>
      </c>
      <c r="T140" s="3" t="s">
        <v>1085</v>
      </c>
      <c r="U140" s="3" t="s">
        <v>1533</v>
      </c>
      <c r="V140" s="3" t="s">
        <v>1534</v>
      </c>
      <c r="W140" s="3" t="s">
        <v>978</v>
      </c>
      <c r="X140" s="3">
        <f t="shared" si="12"/>
        <v>4</v>
      </c>
      <c r="Y140" s="3" t="s">
        <v>53</v>
      </c>
      <c r="Z140" s="3" t="s">
        <v>53</v>
      </c>
      <c r="AA140" s="3" t="s">
        <v>53</v>
      </c>
      <c r="AB140" s="3" t="str">
        <f t="shared" si="13"/>
        <v>Effective</v>
      </c>
      <c r="AC140" s="3" t="str">
        <f t="shared" si="14"/>
        <v>Medium</v>
      </c>
      <c r="AD140" s="3">
        <f t="shared" si="15"/>
        <v>4</v>
      </c>
      <c r="AE140" s="3">
        <f t="shared" si="16"/>
        <v>4</v>
      </c>
      <c r="AF140" s="3" t="s">
        <v>59</v>
      </c>
      <c r="AG140" s="3"/>
      <c r="AH140" s="3"/>
      <c r="AI140" s="3"/>
      <c r="AJ140" s="3"/>
      <c r="AK140" s="3"/>
      <c r="AL140" s="3" t="s">
        <v>60</v>
      </c>
      <c r="AM140" s="3" t="str">
        <f t="shared" si="17"/>
        <v>Must Have</v>
      </c>
    </row>
    <row r="141" spans="1:39" ht="108" hidden="1" customHeight="1" x14ac:dyDescent="0.35">
      <c r="A141" s="4">
        <v>140</v>
      </c>
      <c r="B141" s="3" t="s">
        <v>39</v>
      </c>
      <c r="C141" s="3" t="s">
        <v>1535</v>
      </c>
      <c r="D141" s="3" t="s">
        <v>352</v>
      </c>
      <c r="E141" s="3" t="s">
        <v>1536</v>
      </c>
      <c r="F141" s="3" t="s">
        <v>114</v>
      </c>
      <c r="G141" s="3" t="s">
        <v>891</v>
      </c>
      <c r="H141" s="3" t="s">
        <v>1536</v>
      </c>
      <c r="I141" s="4" t="s">
        <v>1537</v>
      </c>
      <c r="J141" s="3" t="s">
        <v>1538</v>
      </c>
      <c r="K141" s="3" t="s">
        <v>1539</v>
      </c>
      <c r="L141" s="3" t="s">
        <v>1540</v>
      </c>
      <c r="M141" s="3" t="s">
        <v>1541</v>
      </c>
      <c r="N141" s="3" t="s">
        <v>1542</v>
      </c>
      <c r="O141" s="3" t="s">
        <v>1543</v>
      </c>
      <c r="P141" s="3" t="s">
        <v>51</v>
      </c>
      <c r="Q141" s="3" t="s">
        <v>153</v>
      </c>
      <c r="R141" s="3" t="s">
        <v>53</v>
      </c>
      <c r="S141" s="3" t="s">
        <v>1544</v>
      </c>
      <c r="T141" s="3" t="s">
        <v>1085</v>
      </c>
      <c r="U141" s="3" t="s">
        <v>1545</v>
      </c>
      <c r="V141" s="3" t="s">
        <v>1546</v>
      </c>
      <c r="W141" s="3" t="s">
        <v>58</v>
      </c>
      <c r="X141" s="3">
        <f t="shared" si="12"/>
        <v>3</v>
      </c>
      <c r="Y141" s="3" t="s">
        <v>53</v>
      </c>
      <c r="Z141" s="3" t="s">
        <v>53</v>
      </c>
      <c r="AA141" s="3" t="s">
        <v>53</v>
      </c>
      <c r="AB141" s="3" t="str">
        <f t="shared" si="13"/>
        <v>Effective</v>
      </c>
      <c r="AC141" s="3" t="str">
        <f t="shared" si="14"/>
        <v>Low</v>
      </c>
      <c r="AD141" s="3">
        <f t="shared" si="15"/>
        <v>3</v>
      </c>
      <c r="AE141" s="3">
        <f t="shared" si="16"/>
        <v>3</v>
      </c>
      <c r="AF141" s="3" t="s">
        <v>59</v>
      </c>
      <c r="AG141" s="3"/>
      <c r="AH141" s="3"/>
      <c r="AI141" s="3"/>
      <c r="AJ141" s="3"/>
      <c r="AK141" s="3"/>
      <c r="AL141" s="3" t="s">
        <v>60</v>
      </c>
      <c r="AM141" s="3" t="str">
        <f t="shared" si="17"/>
        <v>Must Have</v>
      </c>
    </row>
    <row r="142" spans="1:39" ht="120" hidden="1" customHeight="1" x14ac:dyDescent="0.35">
      <c r="A142" s="4">
        <v>141</v>
      </c>
      <c r="B142" s="3" t="s">
        <v>39</v>
      </c>
      <c r="C142" s="3" t="s">
        <v>1535</v>
      </c>
      <c r="D142" s="3" t="s">
        <v>352</v>
      </c>
      <c r="E142" s="3" t="s">
        <v>1536</v>
      </c>
      <c r="F142" s="3" t="s">
        <v>114</v>
      </c>
      <c r="G142" s="3" t="s">
        <v>891</v>
      </c>
      <c r="H142" s="3" t="s">
        <v>1536</v>
      </c>
      <c r="I142" s="4" t="s">
        <v>1547</v>
      </c>
      <c r="J142" s="3" t="s">
        <v>1548</v>
      </c>
      <c r="K142" s="3" t="s">
        <v>1549</v>
      </c>
      <c r="L142" s="3" t="s">
        <v>1550</v>
      </c>
      <c r="M142" s="3" t="s">
        <v>1551</v>
      </c>
      <c r="N142" s="3" t="s">
        <v>1552</v>
      </c>
      <c r="O142" s="3" t="s">
        <v>1553</v>
      </c>
      <c r="P142" s="3" t="s">
        <v>51</v>
      </c>
      <c r="Q142" s="3" t="s">
        <v>52</v>
      </c>
      <c r="R142" s="3" t="s">
        <v>53</v>
      </c>
      <c r="S142" s="3" t="s">
        <v>1554</v>
      </c>
      <c r="T142" s="3" t="s">
        <v>1085</v>
      </c>
      <c r="U142" s="3" t="s">
        <v>1555</v>
      </c>
      <c r="V142" s="3" t="s">
        <v>1556</v>
      </c>
      <c r="W142" s="3" t="s">
        <v>58</v>
      </c>
      <c r="X142" s="3">
        <f t="shared" si="12"/>
        <v>3</v>
      </c>
      <c r="Y142" s="3" t="s">
        <v>53</v>
      </c>
      <c r="Z142" s="3" t="s">
        <v>53</v>
      </c>
      <c r="AA142" s="3" t="s">
        <v>53</v>
      </c>
      <c r="AB142" s="3" t="str">
        <f t="shared" si="13"/>
        <v>Effective</v>
      </c>
      <c r="AC142" s="3" t="str">
        <f t="shared" si="14"/>
        <v>Low</v>
      </c>
      <c r="AD142" s="3">
        <f t="shared" si="15"/>
        <v>3</v>
      </c>
      <c r="AE142" s="3">
        <f t="shared" si="16"/>
        <v>3</v>
      </c>
      <c r="AF142" s="3" t="s">
        <v>59</v>
      </c>
      <c r="AG142" s="3"/>
      <c r="AH142" s="3"/>
      <c r="AI142" s="3"/>
      <c r="AJ142" s="3"/>
      <c r="AK142" s="3"/>
      <c r="AL142" s="3" t="s">
        <v>60</v>
      </c>
      <c r="AM142" s="3" t="str">
        <f t="shared" si="17"/>
        <v>Must Have</v>
      </c>
    </row>
    <row r="143" spans="1:39" ht="120" hidden="1" customHeight="1" x14ac:dyDescent="0.35">
      <c r="A143" s="4">
        <v>142</v>
      </c>
      <c r="B143" s="3" t="s">
        <v>39</v>
      </c>
      <c r="C143" s="3" t="s">
        <v>1535</v>
      </c>
      <c r="D143" s="3" t="s">
        <v>352</v>
      </c>
      <c r="E143" s="3" t="s">
        <v>1536</v>
      </c>
      <c r="F143" s="3" t="s">
        <v>527</v>
      </c>
      <c r="G143" s="3" t="s">
        <v>891</v>
      </c>
      <c r="H143" s="3" t="s">
        <v>1536</v>
      </c>
      <c r="I143" s="4" t="s">
        <v>1557</v>
      </c>
      <c r="J143" s="3" t="s">
        <v>1558</v>
      </c>
      <c r="K143" s="3" t="s">
        <v>1559</v>
      </c>
      <c r="L143" s="3" t="s">
        <v>1560</v>
      </c>
      <c r="M143" s="3" t="s">
        <v>1561</v>
      </c>
      <c r="N143" s="3" t="s">
        <v>1562</v>
      </c>
      <c r="O143" s="3" t="s">
        <v>1563</v>
      </c>
      <c r="P143" s="3" t="s">
        <v>51</v>
      </c>
      <c r="Q143" s="3" t="s">
        <v>52</v>
      </c>
      <c r="R143" s="3" t="s">
        <v>53</v>
      </c>
      <c r="S143" s="3" t="s">
        <v>1105</v>
      </c>
      <c r="T143" s="3" t="s">
        <v>1085</v>
      </c>
      <c r="U143" s="3" t="s">
        <v>1564</v>
      </c>
      <c r="V143" s="3" t="s">
        <v>1534</v>
      </c>
      <c r="W143" s="3" t="s">
        <v>58</v>
      </c>
      <c r="X143" s="3">
        <f t="shared" si="12"/>
        <v>3</v>
      </c>
      <c r="Y143" s="3" t="s">
        <v>53</v>
      </c>
      <c r="Z143" s="3" t="s">
        <v>53</v>
      </c>
      <c r="AA143" s="3" t="s">
        <v>53</v>
      </c>
      <c r="AB143" s="3" t="str">
        <f t="shared" si="13"/>
        <v>Effective</v>
      </c>
      <c r="AC143" s="3" t="str">
        <f t="shared" si="14"/>
        <v>Low</v>
      </c>
      <c r="AD143" s="3">
        <f t="shared" si="15"/>
        <v>3</v>
      </c>
      <c r="AE143" s="3">
        <f t="shared" si="16"/>
        <v>3</v>
      </c>
      <c r="AF143" s="3" t="s">
        <v>59</v>
      </c>
      <c r="AG143" s="3"/>
      <c r="AH143" s="3"/>
      <c r="AI143" s="3"/>
      <c r="AJ143" s="3"/>
      <c r="AK143" s="3"/>
      <c r="AL143" s="3" t="s">
        <v>60</v>
      </c>
      <c r="AM143" s="3" t="str">
        <f t="shared" si="17"/>
        <v>Must Have</v>
      </c>
    </row>
    <row r="144" spans="1:39" ht="108" hidden="1" customHeight="1" x14ac:dyDescent="0.35">
      <c r="A144" s="4">
        <v>143</v>
      </c>
      <c r="B144" s="3" t="s">
        <v>39</v>
      </c>
      <c r="C144" s="3" t="s">
        <v>1565</v>
      </c>
      <c r="D144" s="3" t="s">
        <v>352</v>
      </c>
      <c r="E144" s="3" t="s">
        <v>1566</v>
      </c>
      <c r="F144" s="3" t="s">
        <v>114</v>
      </c>
      <c r="G144" s="3" t="s">
        <v>891</v>
      </c>
      <c r="H144" s="3" t="s">
        <v>1566</v>
      </c>
      <c r="I144" s="4" t="s">
        <v>1567</v>
      </c>
      <c r="J144" s="3" t="s">
        <v>1568</v>
      </c>
      <c r="K144" s="3" t="s">
        <v>1569</v>
      </c>
      <c r="L144" s="3" t="s">
        <v>1570</v>
      </c>
      <c r="M144" s="3" t="s">
        <v>1571</v>
      </c>
      <c r="N144" s="3" t="s">
        <v>1572</v>
      </c>
      <c r="O144" s="3" t="s">
        <v>1573</v>
      </c>
      <c r="P144" s="3" t="s">
        <v>51</v>
      </c>
      <c r="Q144" s="3" t="s">
        <v>52</v>
      </c>
      <c r="R144" s="3" t="s">
        <v>53</v>
      </c>
      <c r="S144" s="3" t="s">
        <v>1544</v>
      </c>
      <c r="T144" s="3" t="s">
        <v>1085</v>
      </c>
      <c r="U144" s="3" t="s">
        <v>1574</v>
      </c>
      <c r="V144" s="3" t="s">
        <v>1546</v>
      </c>
      <c r="W144" s="3" t="s">
        <v>58</v>
      </c>
      <c r="X144" s="3">
        <f t="shared" si="12"/>
        <v>3</v>
      </c>
      <c r="Y144" s="3" t="s">
        <v>53</v>
      </c>
      <c r="Z144" s="3" t="s">
        <v>53</v>
      </c>
      <c r="AA144" s="3" t="s">
        <v>53</v>
      </c>
      <c r="AB144" s="3" t="str">
        <f t="shared" si="13"/>
        <v>Effective</v>
      </c>
      <c r="AC144" s="3" t="str">
        <f t="shared" si="14"/>
        <v>Low</v>
      </c>
      <c r="AD144" s="3">
        <f t="shared" si="15"/>
        <v>3</v>
      </c>
      <c r="AE144" s="3">
        <f t="shared" si="16"/>
        <v>3</v>
      </c>
      <c r="AF144" s="3" t="s">
        <v>59</v>
      </c>
      <c r="AG144" s="3"/>
      <c r="AH144" s="3"/>
      <c r="AI144" s="3"/>
      <c r="AJ144" s="3"/>
      <c r="AK144" s="3"/>
      <c r="AL144" s="3" t="s">
        <v>60</v>
      </c>
      <c r="AM144" s="3" t="str">
        <f t="shared" si="17"/>
        <v>Must Have</v>
      </c>
    </row>
    <row r="145" spans="1:39" ht="120" hidden="1" customHeight="1" x14ac:dyDescent="0.35">
      <c r="A145" s="4">
        <v>144</v>
      </c>
      <c r="B145" s="3" t="s">
        <v>39</v>
      </c>
      <c r="C145" s="3" t="s">
        <v>1575</v>
      </c>
      <c r="D145" s="3" t="s">
        <v>352</v>
      </c>
      <c r="E145" s="3" t="s">
        <v>1576</v>
      </c>
      <c r="F145" s="3" t="s">
        <v>114</v>
      </c>
      <c r="G145" s="3" t="s">
        <v>891</v>
      </c>
      <c r="H145" s="3" t="s">
        <v>1576</v>
      </c>
      <c r="I145" s="4" t="s">
        <v>1577</v>
      </c>
      <c r="J145" s="3" t="s">
        <v>1578</v>
      </c>
      <c r="K145" s="3" t="s">
        <v>1579</v>
      </c>
      <c r="L145" s="3" t="s">
        <v>1580</v>
      </c>
      <c r="M145" s="3" t="s">
        <v>1581</v>
      </c>
      <c r="N145" s="3" t="s">
        <v>1582</v>
      </c>
      <c r="O145" s="3" t="s">
        <v>1583</v>
      </c>
      <c r="P145" s="3" t="s">
        <v>51</v>
      </c>
      <c r="Q145" s="3" t="s">
        <v>323</v>
      </c>
      <c r="R145" s="3" t="s">
        <v>53</v>
      </c>
      <c r="S145" s="3" t="s">
        <v>1584</v>
      </c>
      <c r="T145" s="3" t="s">
        <v>1030</v>
      </c>
      <c r="U145" s="3" t="s">
        <v>1585</v>
      </c>
      <c r="V145" s="3" t="s">
        <v>1586</v>
      </c>
      <c r="W145" s="3" t="s">
        <v>978</v>
      </c>
      <c r="X145" s="3">
        <f t="shared" si="12"/>
        <v>4</v>
      </c>
      <c r="Y145" s="3" t="s">
        <v>53</v>
      </c>
      <c r="Z145" s="3" t="s">
        <v>53</v>
      </c>
      <c r="AA145" s="3" t="s">
        <v>53</v>
      </c>
      <c r="AB145" s="3" t="str">
        <f t="shared" si="13"/>
        <v>Effective</v>
      </c>
      <c r="AC145" s="3" t="str">
        <f t="shared" si="14"/>
        <v>Medium</v>
      </c>
      <c r="AD145" s="3">
        <f t="shared" si="15"/>
        <v>4</v>
      </c>
      <c r="AE145" s="3">
        <f t="shared" si="16"/>
        <v>4</v>
      </c>
      <c r="AF145" s="3" t="s">
        <v>59</v>
      </c>
      <c r="AG145" s="3"/>
      <c r="AH145" s="3"/>
      <c r="AI145" s="3"/>
      <c r="AJ145" s="3"/>
      <c r="AK145" s="3"/>
      <c r="AL145" s="3" t="s">
        <v>60</v>
      </c>
      <c r="AM145" s="3" t="str">
        <f t="shared" si="17"/>
        <v>Must Have</v>
      </c>
    </row>
    <row r="146" spans="1:39" ht="120" hidden="1" customHeight="1" x14ac:dyDescent="0.35">
      <c r="A146" s="4">
        <v>145</v>
      </c>
      <c r="B146" s="3" t="s">
        <v>39</v>
      </c>
      <c r="C146" s="3" t="s">
        <v>1575</v>
      </c>
      <c r="D146" s="3" t="s">
        <v>352</v>
      </c>
      <c r="E146" s="3" t="s">
        <v>1576</v>
      </c>
      <c r="F146" s="3" t="s">
        <v>114</v>
      </c>
      <c r="G146" s="3" t="s">
        <v>891</v>
      </c>
      <c r="H146" s="3" t="s">
        <v>1576</v>
      </c>
      <c r="I146" s="4" t="s">
        <v>1587</v>
      </c>
      <c r="J146" s="3" t="s">
        <v>1588</v>
      </c>
      <c r="K146" s="3" t="s">
        <v>1589</v>
      </c>
      <c r="L146" s="3" t="s">
        <v>1590</v>
      </c>
      <c r="M146" s="3" t="s">
        <v>1591</v>
      </c>
      <c r="N146" s="3" t="s">
        <v>1592</v>
      </c>
      <c r="O146" s="3" t="s">
        <v>1593</v>
      </c>
      <c r="P146" s="3" t="s">
        <v>51</v>
      </c>
      <c r="Q146" s="3" t="s">
        <v>323</v>
      </c>
      <c r="R146" s="3" t="s">
        <v>53</v>
      </c>
      <c r="S146" s="3" t="s">
        <v>1064</v>
      </c>
      <c r="T146" s="3" t="s">
        <v>1594</v>
      </c>
      <c r="U146" s="3" t="s">
        <v>1595</v>
      </c>
      <c r="V146" s="3" t="s">
        <v>1596</v>
      </c>
      <c r="W146" s="3" t="s">
        <v>58</v>
      </c>
      <c r="X146" s="3">
        <f t="shared" si="12"/>
        <v>3</v>
      </c>
      <c r="Y146" s="3" t="s">
        <v>53</v>
      </c>
      <c r="Z146" s="3" t="s">
        <v>53</v>
      </c>
      <c r="AA146" s="3" t="s">
        <v>53</v>
      </c>
      <c r="AB146" s="3" t="str">
        <f t="shared" si="13"/>
        <v>Effective</v>
      </c>
      <c r="AC146" s="3" t="str">
        <f t="shared" si="14"/>
        <v>Low</v>
      </c>
      <c r="AD146" s="3">
        <f t="shared" si="15"/>
        <v>3</v>
      </c>
      <c r="AE146" s="3">
        <f t="shared" si="16"/>
        <v>3</v>
      </c>
      <c r="AF146" s="3" t="s">
        <v>59</v>
      </c>
      <c r="AG146" s="3"/>
      <c r="AH146" s="3"/>
      <c r="AI146" s="3"/>
      <c r="AJ146" s="3"/>
      <c r="AK146" s="3"/>
      <c r="AL146" s="3" t="s">
        <v>60</v>
      </c>
      <c r="AM146" s="3" t="str">
        <f t="shared" si="17"/>
        <v>Must Have</v>
      </c>
    </row>
    <row r="147" spans="1:39" ht="120" hidden="1" customHeight="1" x14ac:dyDescent="0.35">
      <c r="A147" s="4">
        <v>146</v>
      </c>
      <c r="B147" s="3" t="s">
        <v>39</v>
      </c>
      <c r="C147" s="3" t="s">
        <v>1575</v>
      </c>
      <c r="D147" s="3" t="s">
        <v>352</v>
      </c>
      <c r="E147" s="3" t="s">
        <v>1576</v>
      </c>
      <c r="F147" s="3" t="s">
        <v>114</v>
      </c>
      <c r="G147" s="3" t="s">
        <v>891</v>
      </c>
      <c r="H147" s="3" t="s">
        <v>1576</v>
      </c>
      <c r="I147" s="4" t="s">
        <v>1597</v>
      </c>
      <c r="J147" s="3" t="s">
        <v>1598</v>
      </c>
      <c r="K147" s="3" t="s">
        <v>1599</v>
      </c>
      <c r="L147" s="3" t="s">
        <v>1600</v>
      </c>
      <c r="M147" s="3" t="s">
        <v>1601</v>
      </c>
      <c r="N147" s="3" t="s">
        <v>1602</v>
      </c>
      <c r="O147" s="3" t="s">
        <v>1603</v>
      </c>
      <c r="P147" s="3" t="s">
        <v>51</v>
      </c>
      <c r="Q147" s="3" t="s">
        <v>52</v>
      </c>
      <c r="R147" s="3" t="s">
        <v>53</v>
      </c>
      <c r="S147" s="3" t="s">
        <v>1604</v>
      </c>
      <c r="T147" s="3" t="s">
        <v>1085</v>
      </c>
      <c r="U147" s="3" t="s">
        <v>1605</v>
      </c>
      <c r="V147" s="3" t="s">
        <v>1606</v>
      </c>
      <c r="W147" s="3" t="s">
        <v>58</v>
      </c>
      <c r="X147" s="3">
        <f t="shared" si="12"/>
        <v>3</v>
      </c>
      <c r="Y147" s="3" t="s">
        <v>53</v>
      </c>
      <c r="Z147" s="3" t="s">
        <v>53</v>
      </c>
      <c r="AA147" s="3" t="s">
        <v>53</v>
      </c>
      <c r="AB147" s="3" t="str">
        <f t="shared" si="13"/>
        <v>Effective</v>
      </c>
      <c r="AC147" s="3" t="str">
        <f t="shared" si="14"/>
        <v>Low</v>
      </c>
      <c r="AD147" s="3">
        <f t="shared" si="15"/>
        <v>3</v>
      </c>
      <c r="AE147" s="3">
        <f t="shared" si="16"/>
        <v>3</v>
      </c>
      <c r="AF147" s="3" t="s">
        <v>59</v>
      </c>
      <c r="AG147" s="3"/>
      <c r="AH147" s="3"/>
      <c r="AI147" s="3"/>
      <c r="AJ147" s="3"/>
      <c r="AK147" s="3"/>
      <c r="AL147" s="3" t="s">
        <v>60</v>
      </c>
      <c r="AM147" s="3" t="str">
        <f t="shared" si="17"/>
        <v>Must Have</v>
      </c>
    </row>
    <row r="148" spans="1:39" ht="120" hidden="1" customHeight="1" x14ac:dyDescent="0.35">
      <c r="A148" s="4">
        <v>147</v>
      </c>
      <c r="B148" s="3" t="s">
        <v>39</v>
      </c>
      <c r="C148" s="3" t="s">
        <v>1575</v>
      </c>
      <c r="D148" s="3" t="s">
        <v>352</v>
      </c>
      <c r="E148" s="3" t="s">
        <v>1576</v>
      </c>
      <c r="F148" s="3" t="s">
        <v>42</v>
      </c>
      <c r="G148" s="3" t="s">
        <v>891</v>
      </c>
      <c r="H148" s="3" t="s">
        <v>1576</v>
      </c>
      <c r="I148" s="4" t="s">
        <v>1607</v>
      </c>
      <c r="J148" s="3" t="s">
        <v>1608</v>
      </c>
      <c r="K148" s="3" t="s">
        <v>1609</v>
      </c>
      <c r="L148" s="3" t="s">
        <v>1610</v>
      </c>
      <c r="M148" s="3" t="s">
        <v>1611</v>
      </c>
      <c r="N148" s="3" t="s">
        <v>1612</v>
      </c>
      <c r="O148" s="3" t="s">
        <v>1613</v>
      </c>
      <c r="P148" s="3" t="s">
        <v>51</v>
      </c>
      <c r="Q148" s="3" t="s">
        <v>153</v>
      </c>
      <c r="R148" s="3" t="s">
        <v>53</v>
      </c>
      <c r="S148" s="3" t="s">
        <v>1064</v>
      </c>
      <c r="T148" s="3" t="s">
        <v>68</v>
      </c>
      <c r="U148" s="3" t="s">
        <v>1614</v>
      </c>
      <c r="V148" s="3" t="s">
        <v>1615</v>
      </c>
      <c r="W148" s="3" t="s">
        <v>159</v>
      </c>
      <c r="X148" s="3">
        <f t="shared" si="12"/>
        <v>2</v>
      </c>
      <c r="Y148" s="3" t="s">
        <v>53</v>
      </c>
      <c r="Z148" s="3" t="s">
        <v>53</v>
      </c>
      <c r="AA148" s="3" t="s">
        <v>53</v>
      </c>
      <c r="AB148" s="3" t="str">
        <f t="shared" si="13"/>
        <v>Effective</v>
      </c>
      <c r="AC148" s="3" t="str">
        <f t="shared" si="14"/>
        <v>Low</v>
      </c>
      <c r="AD148" s="3">
        <f t="shared" si="15"/>
        <v>2</v>
      </c>
      <c r="AE148" s="3">
        <f t="shared" si="16"/>
        <v>2</v>
      </c>
      <c r="AF148" s="3" t="s">
        <v>59</v>
      </c>
      <c r="AG148" s="3"/>
      <c r="AH148" s="3"/>
      <c r="AI148" s="3"/>
      <c r="AJ148" s="3"/>
      <c r="AK148" s="3"/>
      <c r="AL148" s="3" t="s">
        <v>60</v>
      </c>
      <c r="AM148" s="3" t="str">
        <f t="shared" si="17"/>
        <v>Should Have</v>
      </c>
    </row>
    <row r="149" spans="1:39" ht="132" customHeight="1" x14ac:dyDescent="0.35">
      <c r="A149" s="4">
        <v>148</v>
      </c>
      <c r="B149" s="3" t="s">
        <v>39</v>
      </c>
      <c r="C149" s="3" t="s">
        <v>1616</v>
      </c>
      <c r="D149" s="3" t="s">
        <v>1617</v>
      </c>
      <c r="E149" s="3" t="s">
        <v>1618</v>
      </c>
      <c r="F149" s="3" t="s">
        <v>527</v>
      </c>
      <c r="G149" s="3" t="s">
        <v>1619</v>
      </c>
      <c r="H149" s="3" t="s">
        <v>1620</v>
      </c>
      <c r="I149" s="4" t="s">
        <v>1621</v>
      </c>
      <c r="J149" s="3" t="s">
        <v>1622</v>
      </c>
      <c r="K149" s="3" t="s">
        <v>1623</v>
      </c>
      <c r="L149" s="3" t="s">
        <v>1624</v>
      </c>
      <c r="M149" s="3" t="s">
        <v>1625</v>
      </c>
      <c r="N149" s="3" t="s">
        <v>1626</v>
      </c>
      <c r="O149" s="3" t="s">
        <v>1627</v>
      </c>
      <c r="P149" s="3" t="s">
        <v>51</v>
      </c>
      <c r="Q149" s="3" t="s">
        <v>52</v>
      </c>
      <c r="R149" s="3" t="s">
        <v>53</v>
      </c>
      <c r="S149" s="3" t="s">
        <v>996</v>
      </c>
      <c r="T149" s="3" t="s">
        <v>1628</v>
      </c>
      <c r="U149" s="3" t="s">
        <v>1629</v>
      </c>
      <c r="V149" s="3" t="s">
        <v>1630</v>
      </c>
      <c r="W149" s="3" t="s">
        <v>58</v>
      </c>
      <c r="X149" s="3">
        <f t="shared" si="12"/>
        <v>3</v>
      </c>
      <c r="Y149" s="3" t="s">
        <v>53</v>
      </c>
      <c r="Z149" s="3" t="s">
        <v>53</v>
      </c>
      <c r="AA149" s="3" t="s">
        <v>53</v>
      </c>
      <c r="AB149" s="3" t="str">
        <f t="shared" si="13"/>
        <v>Effective</v>
      </c>
      <c r="AC149" s="3" t="str">
        <f t="shared" si="14"/>
        <v>Low</v>
      </c>
      <c r="AD149" s="3">
        <f t="shared" si="15"/>
        <v>3</v>
      </c>
      <c r="AE149" s="3">
        <f t="shared" si="16"/>
        <v>3</v>
      </c>
      <c r="AF149" s="3" t="s">
        <v>59</v>
      </c>
      <c r="AG149" s="3"/>
      <c r="AH149" s="3"/>
      <c r="AI149" s="3"/>
      <c r="AJ149" s="3"/>
      <c r="AK149" s="3"/>
      <c r="AL149" s="3" t="s">
        <v>60</v>
      </c>
      <c r="AM149" s="3" t="str">
        <f t="shared" si="17"/>
        <v>Must Have</v>
      </c>
    </row>
    <row r="150" spans="1:39" ht="120" customHeight="1" x14ac:dyDescent="0.35">
      <c r="A150" s="4">
        <v>149</v>
      </c>
      <c r="B150" s="3" t="s">
        <v>39</v>
      </c>
      <c r="C150" s="3" t="s">
        <v>1616</v>
      </c>
      <c r="D150" s="3" t="s">
        <v>1617</v>
      </c>
      <c r="E150" s="3" t="s">
        <v>1618</v>
      </c>
      <c r="F150" s="3" t="s">
        <v>527</v>
      </c>
      <c r="G150" s="3" t="s">
        <v>1619</v>
      </c>
      <c r="H150" s="3" t="s">
        <v>1620</v>
      </c>
      <c r="I150" s="4" t="s">
        <v>1621</v>
      </c>
      <c r="J150" s="3" t="s">
        <v>1631</v>
      </c>
      <c r="K150" s="3" t="s">
        <v>1632</v>
      </c>
      <c r="L150" s="3" t="s">
        <v>1633</v>
      </c>
      <c r="M150" s="3" t="s">
        <v>1634</v>
      </c>
      <c r="N150" s="3" t="s">
        <v>1635</v>
      </c>
      <c r="O150" s="3" t="s">
        <v>1636</v>
      </c>
      <c r="P150" s="3" t="s">
        <v>51</v>
      </c>
      <c r="Q150" s="3" t="s">
        <v>52</v>
      </c>
      <c r="R150" s="3" t="s">
        <v>53</v>
      </c>
      <c r="S150" s="3" t="s">
        <v>1637</v>
      </c>
      <c r="T150" s="3" t="s">
        <v>1638</v>
      </c>
      <c r="U150" s="3" t="s">
        <v>1639</v>
      </c>
      <c r="V150" s="3" t="s">
        <v>1640</v>
      </c>
      <c r="W150" s="3" t="s">
        <v>58</v>
      </c>
      <c r="X150" s="3">
        <f t="shared" si="12"/>
        <v>3</v>
      </c>
      <c r="Y150" s="3" t="s">
        <v>53</v>
      </c>
      <c r="Z150" s="3" t="s">
        <v>53</v>
      </c>
      <c r="AA150" s="3" t="s">
        <v>53</v>
      </c>
      <c r="AB150" s="3" t="str">
        <f t="shared" si="13"/>
        <v>Effective</v>
      </c>
      <c r="AC150" s="3" t="str">
        <f t="shared" si="14"/>
        <v>Low</v>
      </c>
      <c r="AD150" s="3">
        <f t="shared" si="15"/>
        <v>3</v>
      </c>
      <c r="AE150" s="3">
        <f t="shared" si="16"/>
        <v>3</v>
      </c>
      <c r="AF150" s="3" t="s">
        <v>59</v>
      </c>
      <c r="AG150" s="3"/>
      <c r="AH150" s="3"/>
      <c r="AI150" s="3"/>
      <c r="AJ150" s="3"/>
      <c r="AK150" s="3"/>
      <c r="AL150" s="3" t="s">
        <v>60</v>
      </c>
      <c r="AM150" s="3" t="str">
        <f t="shared" si="17"/>
        <v>Must Have</v>
      </c>
    </row>
    <row r="151" spans="1:39" ht="120" customHeight="1" x14ac:dyDescent="0.35">
      <c r="A151" s="4">
        <v>150</v>
      </c>
      <c r="B151" s="3" t="s">
        <v>39</v>
      </c>
      <c r="C151" s="3" t="s">
        <v>1641</v>
      </c>
      <c r="D151" s="3" t="s">
        <v>1617</v>
      </c>
      <c r="E151" s="3" t="s">
        <v>1642</v>
      </c>
      <c r="F151" s="3" t="s">
        <v>527</v>
      </c>
      <c r="G151" s="3" t="s">
        <v>1619</v>
      </c>
      <c r="H151" s="3" t="s">
        <v>1643</v>
      </c>
      <c r="I151" s="4" t="s">
        <v>1644</v>
      </c>
      <c r="J151" s="3" t="s">
        <v>1645</v>
      </c>
      <c r="K151" s="3" t="s">
        <v>1646</v>
      </c>
      <c r="L151" s="3" t="s">
        <v>1647</v>
      </c>
      <c r="M151" s="3" t="s">
        <v>1648</v>
      </c>
      <c r="N151" s="3" t="s">
        <v>1649</v>
      </c>
      <c r="O151" s="3" t="s">
        <v>1650</v>
      </c>
      <c r="P151" s="3" t="s">
        <v>122</v>
      </c>
      <c r="Q151" s="3" t="s">
        <v>52</v>
      </c>
      <c r="R151" s="3" t="s">
        <v>53</v>
      </c>
      <c r="S151" s="3" t="s">
        <v>909</v>
      </c>
      <c r="T151" s="3" t="s">
        <v>68</v>
      </c>
      <c r="U151" s="3" t="s">
        <v>1651</v>
      </c>
      <c r="V151" s="3" t="s">
        <v>1652</v>
      </c>
      <c r="W151" s="3" t="s">
        <v>58</v>
      </c>
      <c r="X151" s="3">
        <f t="shared" si="12"/>
        <v>3</v>
      </c>
      <c r="Y151" s="3" t="s">
        <v>53</v>
      </c>
      <c r="Z151" s="3" t="s">
        <v>53</v>
      </c>
      <c r="AA151" s="3" t="s">
        <v>53</v>
      </c>
      <c r="AB151" s="3" t="str">
        <f t="shared" si="13"/>
        <v>Effective</v>
      </c>
      <c r="AC151" s="3" t="str">
        <f t="shared" si="14"/>
        <v>Low</v>
      </c>
      <c r="AD151" s="3">
        <f t="shared" si="15"/>
        <v>3</v>
      </c>
      <c r="AE151" s="3">
        <f t="shared" si="16"/>
        <v>3</v>
      </c>
      <c r="AF151" s="3" t="s">
        <v>59</v>
      </c>
      <c r="AG151" s="3"/>
      <c r="AH151" s="3"/>
      <c r="AI151" s="3"/>
      <c r="AJ151" s="3"/>
      <c r="AK151" s="3"/>
      <c r="AL151" s="3" t="s">
        <v>60</v>
      </c>
      <c r="AM151" s="3" t="str">
        <f t="shared" si="17"/>
        <v>Must Have</v>
      </c>
    </row>
    <row r="152" spans="1:39" ht="120" customHeight="1" x14ac:dyDescent="0.35">
      <c r="A152" s="4">
        <v>151</v>
      </c>
      <c r="B152" s="3" t="s">
        <v>39</v>
      </c>
      <c r="C152" s="3" t="s">
        <v>1641</v>
      </c>
      <c r="D152" s="3" t="s">
        <v>1617</v>
      </c>
      <c r="E152" s="3" t="s">
        <v>1642</v>
      </c>
      <c r="F152" s="3" t="s">
        <v>527</v>
      </c>
      <c r="G152" s="3" t="s">
        <v>1619</v>
      </c>
      <c r="H152" s="3" t="s">
        <v>1643</v>
      </c>
      <c r="I152" s="4" t="s">
        <v>1653</v>
      </c>
      <c r="J152" s="3" t="s">
        <v>1654</v>
      </c>
      <c r="K152" s="3" t="s">
        <v>1655</v>
      </c>
      <c r="L152" s="3" t="s">
        <v>1656</v>
      </c>
      <c r="M152" s="3" t="s">
        <v>1657</v>
      </c>
      <c r="N152" s="3" t="s">
        <v>1658</v>
      </c>
      <c r="O152" s="3" t="s">
        <v>1659</v>
      </c>
      <c r="P152" s="3" t="s">
        <v>51</v>
      </c>
      <c r="Q152" s="3" t="s">
        <v>52</v>
      </c>
      <c r="R152" s="3" t="s">
        <v>53</v>
      </c>
      <c r="S152" s="3" t="s">
        <v>1660</v>
      </c>
      <c r="T152" s="3" t="s">
        <v>68</v>
      </c>
      <c r="U152" s="3" t="s">
        <v>1661</v>
      </c>
      <c r="V152" s="3" t="s">
        <v>1662</v>
      </c>
      <c r="W152" s="3" t="s">
        <v>58</v>
      </c>
      <c r="X152" s="3">
        <f t="shared" si="12"/>
        <v>3</v>
      </c>
      <c r="Y152" s="3" t="s">
        <v>53</v>
      </c>
      <c r="Z152" s="3" t="s">
        <v>53</v>
      </c>
      <c r="AA152" s="3" t="s">
        <v>53</v>
      </c>
      <c r="AB152" s="3" t="str">
        <f t="shared" si="13"/>
        <v>Effective</v>
      </c>
      <c r="AC152" s="3" t="str">
        <f t="shared" si="14"/>
        <v>Low</v>
      </c>
      <c r="AD152" s="3">
        <f t="shared" si="15"/>
        <v>3</v>
      </c>
      <c r="AE152" s="3">
        <f t="shared" si="16"/>
        <v>3</v>
      </c>
      <c r="AF152" s="3" t="s">
        <v>59</v>
      </c>
      <c r="AG152" s="3"/>
      <c r="AH152" s="3"/>
      <c r="AI152" s="3"/>
      <c r="AJ152" s="3"/>
      <c r="AK152" s="3"/>
      <c r="AL152" s="3" t="s">
        <v>60</v>
      </c>
      <c r="AM152" s="3" t="str">
        <f t="shared" si="17"/>
        <v>Must Have</v>
      </c>
    </row>
    <row r="153" spans="1:39" ht="120" customHeight="1" x14ac:dyDescent="0.35">
      <c r="A153" s="4">
        <v>152</v>
      </c>
      <c r="B153" s="3" t="s">
        <v>39</v>
      </c>
      <c r="C153" s="3" t="s">
        <v>1663</v>
      </c>
      <c r="D153" s="3" t="s">
        <v>1617</v>
      </c>
      <c r="E153" s="3" t="s">
        <v>1664</v>
      </c>
      <c r="F153" s="3" t="s">
        <v>527</v>
      </c>
      <c r="G153" s="3" t="s">
        <v>1619</v>
      </c>
      <c r="H153" s="3" t="s">
        <v>1665</v>
      </c>
      <c r="I153" s="4" t="s">
        <v>1666</v>
      </c>
      <c r="J153" s="3" t="s">
        <v>1667</v>
      </c>
      <c r="K153" s="3" t="s">
        <v>1668</v>
      </c>
      <c r="L153" s="3" t="s">
        <v>1669</v>
      </c>
      <c r="M153" s="3" t="s">
        <v>1670</v>
      </c>
      <c r="N153" s="3" t="s">
        <v>1671</v>
      </c>
      <c r="O153" s="3" t="s">
        <v>1672</v>
      </c>
      <c r="P153" s="3" t="s">
        <v>206</v>
      </c>
      <c r="Q153" s="3" t="s">
        <v>52</v>
      </c>
      <c r="R153" s="3" t="s">
        <v>53</v>
      </c>
      <c r="S153" s="3" t="s">
        <v>1673</v>
      </c>
      <c r="T153" s="3" t="s">
        <v>68</v>
      </c>
      <c r="U153" s="3" t="s">
        <v>1674</v>
      </c>
      <c r="V153" s="3" t="s">
        <v>1675</v>
      </c>
      <c r="W153" s="3" t="s">
        <v>58</v>
      </c>
      <c r="X153" s="3">
        <f t="shared" si="12"/>
        <v>3</v>
      </c>
      <c r="Y153" s="3" t="s">
        <v>53</v>
      </c>
      <c r="Z153" s="3" t="s">
        <v>53</v>
      </c>
      <c r="AA153" s="3" t="s">
        <v>53</v>
      </c>
      <c r="AB153" s="3" t="str">
        <f t="shared" si="13"/>
        <v>Effective</v>
      </c>
      <c r="AC153" s="3" t="str">
        <f t="shared" si="14"/>
        <v>Low</v>
      </c>
      <c r="AD153" s="3">
        <f t="shared" si="15"/>
        <v>3</v>
      </c>
      <c r="AE153" s="3">
        <f t="shared" si="16"/>
        <v>3</v>
      </c>
      <c r="AF153" s="3" t="s">
        <v>59</v>
      </c>
      <c r="AG153" s="3"/>
      <c r="AH153" s="3"/>
      <c r="AI153" s="3"/>
      <c r="AJ153" s="3"/>
      <c r="AK153" s="3"/>
      <c r="AL153" s="3" t="s">
        <v>60</v>
      </c>
      <c r="AM153" s="3" t="str">
        <f t="shared" si="17"/>
        <v>Must Have</v>
      </c>
    </row>
    <row r="154" spans="1:39" ht="120" customHeight="1" x14ac:dyDescent="0.35">
      <c r="A154" s="4">
        <v>153</v>
      </c>
      <c r="B154" s="3" t="s">
        <v>39</v>
      </c>
      <c r="C154" s="3" t="s">
        <v>1676</v>
      </c>
      <c r="D154" s="3" t="s">
        <v>1617</v>
      </c>
      <c r="E154" s="3" t="s">
        <v>1677</v>
      </c>
      <c r="F154" s="3" t="s">
        <v>527</v>
      </c>
      <c r="G154" s="3" t="s">
        <v>1619</v>
      </c>
      <c r="H154" s="3" t="s">
        <v>1678</v>
      </c>
      <c r="I154" s="4" t="s">
        <v>1679</v>
      </c>
      <c r="J154" s="3" t="s">
        <v>1680</v>
      </c>
      <c r="K154" s="3" t="s">
        <v>1681</v>
      </c>
      <c r="L154" s="3" t="s">
        <v>1682</v>
      </c>
      <c r="M154" s="3" t="s">
        <v>1683</v>
      </c>
      <c r="N154" s="3" t="s">
        <v>1684</v>
      </c>
      <c r="O154" s="3" t="s">
        <v>1685</v>
      </c>
      <c r="P154" s="3" t="s">
        <v>206</v>
      </c>
      <c r="Q154" s="3" t="s">
        <v>52</v>
      </c>
      <c r="R154" s="3" t="s">
        <v>53</v>
      </c>
      <c r="S154" s="3" t="s">
        <v>1686</v>
      </c>
      <c r="T154" s="3" t="s">
        <v>68</v>
      </c>
      <c r="U154" s="3" t="s">
        <v>1687</v>
      </c>
      <c r="V154" s="3" t="s">
        <v>1688</v>
      </c>
      <c r="W154" s="3" t="s">
        <v>159</v>
      </c>
      <c r="X154" s="3">
        <f t="shared" si="12"/>
        <v>2</v>
      </c>
      <c r="Y154" s="3" t="s">
        <v>53</v>
      </c>
      <c r="Z154" s="3" t="s">
        <v>53</v>
      </c>
      <c r="AA154" s="3" t="s">
        <v>53</v>
      </c>
      <c r="AB154" s="3" t="str">
        <f t="shared" si="13"/>
        <v>Effective</v>
      </c>
      <c r="AC154" s="3" t="str">
        <f t="shared" si="14"/>
        <v>Low</v>
      </c>
      <c r="AD154" s="3">
        <f t="shared" si="15"/>
        <v>2</v>
      </c>
      <c r="AE154" s="3">
        <f t="shared" si="16"/>
        <v>2</v>
      </c>
      <c r="AF154" s="3" t="s">
        <v>59</v>
      </c>
      <c r="AG154" s="3"/>
      <c r="AH154" s="3"/>
      <c r="AI154" s="3"/>
      <c r="AJ154" s="3"/>
      <c r="AK154" s="3"/>
      <c r="AL154" s="3" t="s">
        <v>60</v>
      </c>
      <c r="AM154" s="3" t="str">
        <f t="shared" si="17"/>
        <v>Should Have</v>
      </c>
    </row>
    <row r="155" spans="1:39" ht="120" customHeight="1" x14ac:dyDescent="0.35">
      <c r="A155" s="4">
        <v>154</v>
      </c>
      <c r="B155" s="3" t="s">
        <v>39</v>
      </c>
      <c r="C155" s="3" t="s">
        <v>1689</v>
      </c>
      <c r="D155" s="3" t="s">
        <v>1617</v>
      </c>
      <c r="E155" s="3" t="s">
        <v>1690</v>
      </c>
      <c r="F155" s="3" t="s">
        <v>527</v>
      </c>
      <c r="G155" s="3" t="s">
        <v>1619</v>
      </c>
      <c r="H155" s="3" t="s">
        <v>1691</v>
      </c>
      <c r="I155" s="4" t="s">
        <v>1692</v>
      </c>
      <c r="J155" s="3" t="s">
        <v>1693</v>
      </c>
      <c r="K155" s="3" t="s">
        <v>1694</v>
      </c>
      <c r="L155" s="3" t="s">
        <v>1695</v>
      </c>
      <c r="M155" s="3" t="s">
        <v>1696</v>
      </c>
      <c r="N155" s="3" t="s">
        <v>1697</v>
      </c>
      <c r="O155" s="3" t="s">
        <v>1698</v>
      </c>
      <c r="P155" s="3" t="s">
        <v>122</v>
      </c>
      <c r="Q155" s="3" t="s">
        <v>1699</v>
      </c>
      <c r="R155" s="3" t="s">
        <v>53</v>
      </c>
      <c r="S155" s="3" t="s">
        <v>1700</v>
      </c>
      <c r="T155" s="3" t="s">
        <v>920</v>
      </c>
      <c r="U155" s="3" t="s">
        <v>1701</v>
      </c>
      <c r="V155" s="3" t="s">
        <v>1702</v>
      </c>
      <c r="W155" s="3" t="s">
        <v>58</v>
      </c>
      <c r="X155" s="3">
        <f t="shared" si="12"/>
        <v>3</v>
      </c>
      <c r="Y155" s="3" t="s">
        <v>53</v>
      </c>
      <c r="Z155" s="3" t="s">
        <v>53</v>
      </c>
      <c r="AA155" s="3" t="s">
        <v>53</v>
      </c>
      <c r="AB155" s="3" t="str">
        <f t="shared" si="13"/>
        <v>Effective</v>
      </c>
      <c r="AC155" s="3" t="str">
        <f t="shared" si="14"/>
        <v>Low</v>
      </c>
      <c r="AD155" s="3">
        <f t="shared" si="15"/>
        <v>3</v>
      </c>
      <c r="AE155" s="3">
        <f t="shared" si="16"/>
        <v>3</v>
      </c>
      <c r="AF155" s="3" t="s">
        <v>59</v>
      </c>
      <c r="AG155" s="3"/>
      <c r="AH155" s="3"/>
      <c r="AI155" s="3"/>
      <c r="AJ155" s="3"/>
      <c r="AK155" s="3"/>
      <c r="AL155" s="3" t="s">
        <v>60</v>
      </c>
      <c r="AM155" s="3" t="str">
        <f t="shared" si="17"/>
        <v>Must Have</v>
      </c>
    </row>
    <row r="156" spans="1:39" ht="120" customHeight="1" x14ac:dyDescent="0.35">
      <c r="A156" s="4">
        <v>155</v>
      </c>
      <c r="B156" s="3" t="s">
        <v>39</v>
      </c>
      <c r="C156" s="3" t="s">
        <v>1703</v>
      </c>
      <c r="D156" s="3" t="s">
        <v>1617</v>
      </c>
      <c r="E156" s="3" t="s">
        <v>1704</v>
      </c>
      <c r="F156" s="3" t="s">
        <v>527</v>
      </c>
      <c r="G156" s="3" t="s">
        <v>1619</v>
      </c>
      <c r="H156" s="3" t="s">
        <v>1705</v>
      </c>
      <c r="I156" s="4" t="s">
        <v>1706</v>
      </c>
      <c r="J156" s="3" t="s">
        <v>1707</v>
      </c>
      <c r="K156" s="3" t="s">
        <v>1708</v>
      </c>
      <c r="L156" s="3" t="s">
        <v>1709</v>
      </c>
      <c r="M156" s="3" t="s">
        <v>1710</v>
      </c>
      <c r="N156" s="3" t="s">
        <v>1711</v>
      </c>
      <c r="O156" s="3" t="s">
        <v>1712</v>
      </c>
      <c r="P156" s="3" t="s">
        <v>206</v>
      </c>
      <c r="Q156" s="3" t="s">
        <v>52</v>
      </c>
      <c r="R156" s="3" t="s">
        <v>53</v>
      </c>
      <c r="S156" s="3" t="s">
        <v>1713</v>
      </c>
      <c r="T156" s="3" t="s">
        <v>920</v>
      </c>
      <c r="U156" s="3" t="s">
        <v>1714</v>
      </c>
      <c r="V156" s="3" t="s">
        <v>1715</v>
      </c>
      <c r="W156" s="3" t="s">
        <v>58</v>
      </c>
      <c r="X156" s="3">
        <f t="shared" si="12"/>
        <v>3</v>
      </c>
      <c r="Y156" s="3" t="s">
        <v>53</v>
      </c>
      <c r="Z156" s="3" t="s">
        <v>53</v>
      </c>
      <c r="AA156" s="3" t="s">
        <v>53</v>
      </c>
      <c r="AB156" s="3" t="str">
        <f t="shared" si="13"/>
        <v>Effective</v>
      </c>
      <c r="AC156" s="3" t="str">
        <f t="shared" si="14"/>
        <v>Low</v>
      </c>
      <c r="AD156" s="3">
        <f t="shared" si="15"/>
        <v>3</v>
      </c>
      <c r="AE156" s="3">
        <f t="shared" si="16"/>
        <v>3</v>
      </c>
      <c r="AF156" s="3" t="s">
        <v>59</v>
      </c>
      <c r="AG156" s="3"/>
      <c r="AH156" s="3"/>
      <c r="AI156" s="3"/>
      <c r="AJ156" s="3"/>
      <c r="AK156" s="3"/>
      <c r="AL156" s="3" t="s">
        <v>60</v>
      </c>
      <c r="AM156" s="3" t="str">
        <f t="shared" si="17"/>
        <v>Must Have</v>
      </c>
    </row>
    <row r="157" spans="1:39" ht="120" customHeight="1" x14ac:dyDescent="0.35">
      <c r="A157" s="4">
        <v>156</v>
      </c>
      <c r="B157" s="3" t="s">
        <v>39</v>
      </c>
      <c r="C157" s="3" t="s">
        <v>1616</v>
      </c>
      <c r="D157" s="3" t="s">
        <v>1617</v>
      </c>
      <c r="E157" s="3" t="s">
        <v>1618</v>
      </c>
      <c r="F157" s="3" t="s">
        <v>527</v>
      </c>
      <c r="G157" s="3" t="s">
        <v>1619</v>
      </c>
      <c r="H157" s="3" t="s">
        <v>1620</v>
      </c>
      <c r="I157" s="4" t="s">
        <v>1716</v>
      </c>
      <c r="J157" s="3" t="s">
        <v>1717</v>
      </c>
      <c r="K157" s="3" t="s">
        <v>1718</v>
      </c>
      <c r="L157" s="3" t="s">
        <v>1719</v>
      </c>
      <c r="M157" s="3" t="s">
        <v>1720</v>
      </c>
      <c r="N157" s="3" t="s">
        <v>1721</v>
      </c>
      <c r="O157" s="3" t="s">
        <v>1722</v>
      </c>
      <c r="P157" s="3" t="s">
        <v>206</v>
      </c>
      <c r="Q157" s="3" t="s">
        <v>52</v>
      </c>
      <c r="R157" s="3" t="s">
        <v>53</v>
      </c>
      <c r="S157" s="3" t="s">
        <v>1723</v>
      </c>
      <c r="T157" s="3" t="s">
        <v>920</v>
      </c>
      <c r="U157" s="3" t="s">
        <v>1724</v>
      </c>
      <c r="V157" s="3" t="s">
        <v>1725</v>
      </c>
      <c r="W157" s="3" t="s">
        <v>58</v>
      </c>
      <c r="X157" s="3">
        <f t="shared" si="12"/>
        <v>3</v>
      </c>
      <c r="Y157" s="3" t="s">
        <v>53</v>
      </c>
      <c r="Z157" s="3" t="s">
        <v>53</v>
      </c>
      <c r="AA157" s="3" t="s">
        <v>53</v>
      </c>
      <c r="AB157" s="3" t="str">
        <f t="shared" si="13"/>
        <v>Effective</v>
      </c>
      <c r="AC157" s="3" t="str">
        <f t="shared" si="14"/>
        <v>Low</v>
      </c>
      <c r="AD157" s="3">
        <f t="shared" si="15"/>
        <v>3</v>
      </c>
      <c r="AE157" s="3">
        <f t="shared" si="16"/>
        <v>3</v>
      </c>
      <c r="AF157" s="3" t="s">
        <v>59</v>
      </c>
      <c r="AG157" s="3"/>
      <c r="AH157" s="3"/>
      <c r="AI157" s="3"/>
      <c r="AJ157" s="3"/>
      <c r="AK157" s="3"/>
      <c r="AL157" s="3" t="s">
        <v>60</v>
      </c>
      <c r="AM157" s="3" t="str">
        <f t="shared" si="17"/>
        <v>Must Have</v>
      </c>
    </row>
    <row r="158" spans="1:39" ht="120" customHeight="1" x14ac:dyDescent="0.35">
      <c r="A158" s="4">
        <v>157</v>
      </c>
      <c r="B158" s="3" t="s">
        <v>39</v>
      </c>
      <c r="C158" s="3" t="s">
        <v>1641</v>
      </c>
      <c r="D158" s="3" t="s">
        <v>1617</v>
      </c>
      <c r="E158" s="3" t="s">
        <v>1642</v>
      </c>
      <c r="F158" s="3" t="s">
        <v>527</v>
      </c>
      <c r="G158" s="3" t="s">
        <v>1619</v>
      </c>
      <c r="H158" s="3" t="s">
        <v>1643</v>
      </c>
      <c r="I158" s="4" t="s">
        <v>1726</v>
      </c>
      <c r="J158" s="3" t="s">
        <v>1727</v>
      </c>
      <c r="K158" s="3" t="s">
        <v>1728</v>
      </c>
      <c r="L158" s="3" t="s">
        <v>1729</v>
      </c>
      <c r="M158" s="3" t="s">
        <v>1730</v>
      </c>
      <c r="N158" s="3" t="s">
        <v>1731</v>
      </c>
      <c r="O158" s="3" t="s">
        <v>1732</v>
      </c>
      <c r="P158" s="3" t="s">
        <v>122</v>
      </c>
      <c r="Q158" s="3" t="s">
        <v>153</v>
      </c>
      <c r="R158" s="3" t="s">
        <v>53</v>
      </c>
      <c r="S158" s="3" t="s">
        <v>975</v>
      </c>
      <c r="T158" s="3" t="s">
        <v>920</v>
      </c>
      <c r="U158" s="3" t="s">
        <v>1733</v>
      </c>
      <c r="V158" s="3" t="s">
        <v>1734</v>
      </c>
      <c r="W158" s="3" t="s">
        <v>58</v>
      </c>
      <c r="X158" s="3">
        <f t="shared" si="12"/>
        <v>3</v>
      </c>
      <c r="Y158" s="3" t="s">
        <v>53</v>
      </c>
      <c r="Z158" s="3" t="s">
        <v>53</v>
      </c>
      <c r="AA158" s="3" t="s">
        <v>53</v>
      </c>
      <c r="AB158" s="3" t="str">
        <f t="shared" si="13"/>
        <v>Effective</v>
      </c>
      <c r="AC158" s="3" t="str">
        <f t="shared" si="14"/>
        <v>Low</v>
      </c>
      <c r="AD158" s="3">
        <f t="shared" si="15"/>
        <v>3</v>
      </c>
      <c r="AE158" s="3">
        <f t="shared" si="16"/>
        <v>3</v>
      </c>
      <c r="AF158" s="3" t="s">
        <v>59</v>
      </c>
      <c r="AG158" s="3"/>
      <c r="AH158" s="3"/>
      <c r="AI158" s="3"/>
      <c r="AJ158" s="3"/>
      <c r="AK158" s="3"/>
      <c r="AL158" s="3" t="s">
        <v>60</v>
      </c>
      <c r="AM158" s="3" t="str">
        <f t="shared" si="17"/>
        <v>Must Have</v>
      </c>
    </row>
    <row r="159" spans="1:39" ht="120" customHeight="1" x14ac:dyDescent="0.35">
      <c r="A159" s="4">
        <v>158</v>
      </c>
      <c r="B159" s="3" t="s">
        <v>39</v>
      </c>
      <c r="C159" s="3" t="s">
        <v>1641</v>
      </c>
      <c r="D159" s="3" t="s">
        <v>1617</v>
      </c>
      <c r="E159" s="3" t="s">
        <v>1642</v>
      </c>
      <c r="F159" s="3" t="s">
        <v>527</v>
      </c>
      <c r="G159" s="3" t="s">
        <v>1619</v>
      </c>
      <c r="H159" s="3" t="s">
        <v>1643</v>
      </c>
      <c r="I159" s="4" t="s">
        <v>1735</v>
      </c>
      <c r="J159" s="3" t="s">
        <v>1736</v>
      </c>
      <c r="K159" s="3" t="s">
        <v>1737</v>
      </c>
      <c r="L159" s="3" t="s">
        <v>1738</v>
      </c>
      <c r="M159" s="3" t="s">
        <v>1739</v>
      </c>
      <c r="N159" s="3" t="s">
        <v>1740</v>
      </c>
      <c r="O159" s="3" t="s">
        <v>1741</v>
      </c>
      <c r="P159" s="3" t="s">
        <v>206</v>
      </c>
      <c r="Q159" s="3" t="s">
        <v>52</v>
      </c>
      <c r="R159" s="3" t="s">
        <v>53</v>
      </c>
      <c r="S159" s="3" t="s">
        <v>1742</v>
      </c>
      <c r="T159" s="3" t="s">
        <v>920</v>
      </c>
      <c r="U159" s="3" t="s">
        <v>1743</v>
      </c>
      <c r="V159" s="3" t="s">
        <v>1744</v>
      </c>
      <c r="W159" s="3" t="s">
        <v>58</v>
      </c>
      <c r="X159" s="3">
        <f t="shared" si="12"/>
        <v>3</v>
      </c>
      <c r="Y159" s="3" t="s">
        <v>53</v>
      </c>
      <c r="Z159" s="3" t="s">
        <v>53</v>
      </c>
      <c r="AA159" s="3" t="s">
        <v>53</v>
      </c>
      <c r="AB159" s="3" t="str">
        <f t="shared" si="13"/>
        <v>Effective</v>
      </c>
      <c r="AC159" s="3" t="str">
        <f t="shared" si="14"/>
        <v>Low</v>
      </c>
      <c r="AD159" s="3">
        <f t="shared" si="15"/>
        <v>3</v>
      </c>
      <c r="AE159" s="3">
        <f t="shared" si="16"/>
        <v>3</v>
      </c>
      <c r="AF159" s="3" t="s">
        <v>59</v>
      </c>
      <c r="AG159" s="3"/>
      <c r="AH159" s="3"/>
      <c r="AI159" s="3"/>
      <c r="AJ159" s="3"/>
      <c r="AK159" s="3"/>
      <c r="AL159" s="3" t="s">
        <v>60</v>
      </c>
      <c r="AM159" s="3" t="str">
        <f t="shared" si="17"/>
        <v>Must Have</v>
      </c>
    </row>
    <row r="160" spans="1:39" ht="120" customHeight="1" x14ac:dyDescent="0.35">
      <c r="A160" s="4">
        <v>159</v>
      </c>
      <c r="B160" s="3" t="s">
        <v>39</v>
      </c>
      <c r="C160" s="3" t="s">
        <v>1641</v>
      </c>
      <c r="D160" s="3" t="s">
        <v>1617</v>
      </c>
      <c r="E160" s="3" t="s">
        <v>1642</v>
      </c>
      <c r="F160" s="3" t="s">
        <v>527</v>
      </c>
      <c r="G160" s="3" t="s">
        <v>1619</v>
      </c>
      <c r="H160" s="3" t="s">
        <v>1643</v>
      </c>
      <c r="I160" s="4" t="s">
        <v>1745</v>
      </c>
      <c r="J160" s="3" t="s">
        <v>1746</v>
      </c>
      <c r="K160" s="3" t="s">
        <v>1747</v>
      </c>
      <c r="L160" s="3" t="s">
        <v>1748</v>
      </c>
      <c r="M160" s="3" t="s">
        <v>1749</v>
      </c>
      <c r="N160" s="3" t="s">
        <v>1750</v>
      </c>
      <c r="O160" s="3" t="s">
        <v>1751</v>
      </c>
      <c r="P160" s="3" t="s">
        <v>122</v>
      </c>
      <c r="Q160" s="3" t="s">
        <v>52</v>
      </c>
      <c r="R160" s="3" t="s">
        <v>154</v>
      </c>
      <c r="S160" s="3" t="s">
        <v>1752</v>
      </c>
      <c r="T160" s="3" t="s">
        <v>68</v>
      </c>
      <c r="U160" s="3" t="s">
        <v>1753</v>
      </c>
      <c r="V160" s="3" t="s">
        <v>1754</v>
      </c>
      <c r="W160" s="3" t="s">
        <v>159</v>
      </c>
      <c r="X160" s="3">
        <f t="shared" si="12"/>
        <v>2</v>
      </c>
      <c r="Y160" s="3" t="s">
        <v>53</v>
      </c>
      <c r="Z160" s="3" t="s">
        <v>53</v>
      </c>
      <c r="AA160" s="3" t="s">
        <v>53</v>
      </c>
      <c r="AB160" s="3" t="str">
        <f t="shared" si="13"/>
        <v>Effective</v>
      </c>
      <c r="AC160" s="3" t="str">
        <f t="shared" si="14"/>
        <v>Low</v>
      </c>
      <c r="AD160" s="3">
        <f t="shared" si="15"/>
        <v>2</v>
      </c>
      <c r="AE160" s="3">
        <f t="shared" si="16"/>
        <v>2</v>
      </c>
      <c r="AF160" s="3" t="s">
        <v>59</v>
      </c>
      <c r="AG160" s="3"/>
      <c r="AH160" s="3"/>
      <c r="AI160" s="3"/>
      <c r="AJ160" s="3"/>
      <c r="AK160" s="3"/>
      <c r="AL160" s="3" t="s">
        <v>60</v>
      </c>
      <c r="AM160" s="3" t="str">
        <f t="shared" si="17"/>
        <v>Should Have</v>
      </c>
    </row>
    <row r="161" spans="1:39" ht="132" customHeight="1" x14ac:dyDescent="0.35">
      <c r="A161" s="4">
        <v>160</v>
      </c>
      <c r="B161" s="3" t="s">
        <v>39</v>
      </c>
      <c r="C161" s="3" t="s">
        <v>1641</v>
      </c>
      <c r="D161" s="3" t="s">
        <v>1617</v>
      </c>
      <c r="E161" s="3" t="s">
        <v>1642</v>
      </c>
      <c r="F161" s="3" t="s">
        <v>527</v>
      </c>
      <c r="G161" s="3" t="s">
        <v>1619</v>
      </c>
      <c r="H161" s="3" t="s">
        <v>1643</v>
      </c>
      <c r="I161" s="4" t="s">
        <v>1755</v>
      </c>
      <c r="J161" s="3" t="s">
        <v>1756</v>
      </c>
      <c r="K161" s="3" t="s">
        <v>1757</v>
      </c>
      <c r="L161" s="3" t="s">
        <v>1758</v>
      </c>
      <c r="M161" s="3" t="s">
        <v>1759</v>
      </c>
      <c r="N161" s="3" t="s">
        <v>1760</v>
      </c>
      <c r="O161" s="3" t="s">
        <v>1761</v>
      </c>
      <c r="P161" s="3" t="s">
        <v>51</v>
      </c>
      <c r="Q161" s="3" t="s">
        <v>1762</v>
      </c>
      <c r="R161" s="3" t="s">
        <v>53</v>
      </c>
      <c r="S161" s="3" t="s">
        <v>484</v>
      </c>
      <c r="T161" s="3" t="s">
        <v>68</v>
      </c>
      <c r="U161" s="3" t="s">
        <v>1763</v>
      </c>
      <c r="V161" s="3" t="s">
        <v>1764</v>
      </c>
      <c r="W161" s="3" t="s">
        <v>58</v>
      </c>
      <c r="X161" s="3">
        <f t="shared" si="12"/>
        <v>3</v>
      </c>
      <c r="Y161" s="3" t="s">
        <v>53</v>
      </c>
      <c r="Z161" s="3" t="s">
        <v>53</v>
      </c>
      <c r="AA161" s="3" t="s">
        <v>53</v>
      </c>
      <c r="AB161" s="3" t="str">
        <f t="shared" si="13"/>
        <v>Effective</v>
      </c>
      <c r="AC161" s="3" t="str">
        <f t="shared" si="14"/>
        <v>Low</v>
      </c>
      <c r="AD161" s="3">
        <f t="shared" si="15"/>
        <v>3</v>
      </c>
      <c r="AE161" s="3">
        <f t="shared" si="16"/>
        <v>3</v>
      </c>
      <c r="AF161" s="3" t="s">
        <v>59</v>
      </c>
      <c r="AG161" s="3"/>
      <c r="AH161" s="3"/>
      <c r="AI161" s="3"/>
      <c r="AJ161" s="3"/>
      <c r="AK161" s="3"/>
      <c r="AL161" s="3" t="s">
        <v>60</v>
      </c>
      <c r="AM161" s="3" t="str">
        <f t="shared" si="17"/>
        <v>Must Have</v>
      </c>
    </row>
    <row r="162" spans="1:39" ht="120" customHeight="1" x14ac:dyDescent="0.35">
      <c r="A162" s="4">
        <v>161</v>
      </c>
      <c r="B162" s="3" t="s">
        <v>39</v>
      </c>
      <c r="C162" s="3" t="s">
        <v>1765</v>
      </c>
      <c r="D162" s="3" t="s">
        <v>1617</v>
      </c>
      <c r="E162" s="3" t="s">
        <v>1766</v>
      </c>
      <c r="F162" s="3" t="s">
        <v>527</v>
      </c>
      <c r="G162" s="3" t="s">
        <v>1619</v>
      </c>
      <c r="H162" s="3" t="s">
        <v>1767</v>
      </c>
      <c r="I162" s="4" t="s">
        <v>1768</v>
      </c>
      <c r="J162" s="3" t="s">
        <v>1769</v>
      </c>
      <c r="K162" s="3" t="s">
        <v>1770</v>
      </c>
      <c r="L162" s="3" t="s">
        <v>1771</v>
      </c>
      <c r="M162" s="3" t="s">
        <v>1772</v>
      </c>
      <c r="N162" s="3" t="s">
        <v>1773</v>
      </c>
      <c r="O162" s="3" t="s">
        <v>1774</v>
      </c>
      <c r="P162" s="3" t="s">
        <v>122</v>
      </c>
      <c r="Q162" s="3" t="s">
        <v>52</v>
      </c>
      <c r="R162" s="3" t="s">
        <v>53</v>
      </c>
      <c r="S162" s="3" t="s">
        <v>1775</v>
      </c>
      <c r="T162" s="3" t="s">
        <v>68</v>
      </c>
      <c r="U162" s="3" t="s">
        <v>1776</v>
      </c>
      <c r="V162" s="3" t="s">
        <v>1777</v>
      </c>
      <c r="W162" s="3" t="s">
        <v>159</v>
      </c>
      <c r="X162" s="3">
        <f t="shared" si="12"/>
        <v>2</v>
      </c>
      <c r="Y162" s="3" t="s">
        <v>53</v>
      </c>
      <c r="Z162" s="3" t="s">
        <v>53</v>
      </c>
      <c r="AA162" s="3" t="s">
        <v>53</v>
      </c>
      <c r="AB162" s="3" t="str">
        <f t="shared" si="13"/>
        <v>Effective</v>
      </c>
      <c r="AC162" s="3" t="str">
        <f t="shared" si="14"/>
        <v>Low</v>
      </c>
      <c r="AD162" s="3">
        <f t="shared" si="15"/>
        <v>2</v>
      </c>
      <c r="AE162" s="3">
        <f t="shared" si="16"/>
        <v>2</v>
      </c>
      <c r="AF162" s="3" t="s">
        <v>59</v>
      </c>
      <c r="AG162" s="3"/>
      <c r="AH162" s="3"/>
      <c r="AI162" s="3"/>
      <c r="AJ162" s="3"/>
      <c r="AK162" s="3"/>
      <c r="AL162" s="3" t="s">
        <v>60</v>
      </c>
      <c r="AM162" s="3" t="str">
        <f t="shared" si="17"/>
        <v>Should Have</v>
      </c>
    </row>
    <row r="163" spans="1:39" ht="120" customHeight="1" x14ac:dyDescent="0.35">
      <c r="A163" s="4">
        <v>162</v>
      </c>
      <c r="B163" s="3" t="s">
        <v>39</v>
      </c>
      <c r="C163" s="3" t="s">
        <v>1765</v>
      </c>
      <c r="D163" s="3" t="s">
        <v>1617</v>
      </c>
      <c r="E163" s="3" t="s">
        <v>1766</v>
      </c>
      <c r="F163" s="3" t="s">
        <v>527</v>
      </c>
      <c r="G163" s="3" t="s">
        <v>1619</v>
      </c>
      <c r="H163" s="3" t="s">
        <v>1767</v>
      </c>
      <c r="I163" s="4" t="s">
        <v>1778</v>
      </c>
      <c r="J163" s="3" t="s">
        <v>1779</v>
      </c>
      <c r="K163" s="3" t="s">
        <v>1780</v>
      </c>
      <c r="L163" s="3" t="s">
        <v>1781</v>
      </c>
      <c r="M163" s="3" t="s">
        <v>1782</v>
      </c>
      <c r="N163" s="3" t="s">
        <v>1783</v>
      </c>
      <c r="O163" s="3" t="s">
        <v>1784</v>
      </c>
      <c r="P163" s="3" t="s">
        <v>51</v>
      </c>
      <c r="Q163" s="3" t="s">
        <v>153</v>
      </c>
      <c r="R163" s="3" t="s">
        <v>154</v>
      </c>
      <c r="S163" s="3" t="s">
        <v>1785</v>
      </c>
      <c r="T163" s="3" t="s">
        <v>68</v>
      </c>
      <c r="U163" s="3" t="s">
        <v>1786</v>
      </c>
      <c r="V163" s="3" t="s">
        <v>1787</v>
      </c>
      <c r="W163" s="3" t="s">
        <v>159</v>
      </c>
      <c r="X163" s="3">
        <f t="shared" si="12"/>
        <v>2</v>
      </c>
      <c r="Y163" s="3" t="s">
        <v>53</v>
      </c>
      <c r="Z163" s="3" t="s">
        <v>53</v>
      </c>
      <c r="AA163" s="3" t="s">
        <v>53</v>
      </c>
      <c r="AB163" s="3" t="str">
        <f t="shared" si="13"/>
        <v>Effective</v>
      </c>
      <c r="AC163" s="3" t="str">
        <f t="shared" si="14"/>
        <v>Low</v>
      </c>
      <c r="AD163" s="3">
        <f t="shared" si="15"/>
        <v>2</v>
      </c>
      <c r="AE163" s="3">
        <f t="shared" si="16"/>
        <v>2</v>
      </c>
      <c r="AF163" s="3" t="s">
        <v>59</v>
      </c>
      <c r="AG163" s="3"/>
      <c r="AH163" s="3"/>
      <c r="AI163" s="3"/>
      <c r="AJ163" s="3"/>
      <c r="AK163" s="3"/>
      <c r="AL163" s="3" t="s">
        <v>60</v>
      </c>
      <c r="AM163" s="3" t="str">
        <f t="shared" si="17"/>
        <v>Should Have</v>
      </c>
    </row>
    <row r="164" spans="1:39" ht="132" customHeight="1" x14ac:dyDescent="0.35">
      <c r="A164" s="4">
        <v>163</v>
      </c>
      <c r="B164" s="3" t="s">
        <v>39</v>
      </c>
      <c r="C164" s="3" t="s">
        <v>1788</v>
      </c>
      <c r="D164" s="3" t="s">
        <v>1617</v>
      </c>
      <c r="E164" s="3" t="s">
        <v>1789</v>
      </c>
      <c r="F164" s="3" t="s">
        <v>527</v>
      </c>
      <c r="G164" s="3" t="s">
        <v>1619</v>
      </c>
      <c r="H164" s="3" t="s">
        <v>1790</v>
      </c>
      <c r="I164" s="4" t="s">
        <v>1791</v>
      </c>
      <c r="J164" s="3" t="s">
        <v>1792</v>
      </c>
      <c r="K164" s="3" t="s">
        <v>1793</v>
      </c>
      <c r="L164" s="3" t="s">
        <v>1794</v>
      </c>
      <c r="M164" s="3" t="s">
        <v>1795</v>
      </c>
      <c r="N164" s="3" t="s">
        <v>1796</v>
      </c>
      <c r="O164" s="3" t="s">
        <v>1797</v>
      </c>
      <c r="P164" s="3" t="s">
        <v>51</v>
      </c>
      <c r="Q164" s="3" t="s">
        <v>52</v>
      </c>
      <c r="R164" s="3" t="s">
        <v>53</v>
      </c>
      <c r="S164" s="3" t="s">
        <v>1798</v>
      </c>
      <c r="T164" s="3" t="s">
        <v>68</v>
      </c>
      <c r="U164" s="3" t="s">
        <v>1799</v>
      </c>
      <c r="V164" s="3" t="s">
        <v>1800</v>
      </c>
      <c r="W164" s="3" t="s">
        <v>58</v>
      </c>
      <c r="X164" s="3">
        <f t="shared" si="12"/>
        <v>3</v>
      </c>
      <c r="Y164" s="3" t="s">
        <v>53</v>
      </c>
      <c r="Z164" s="3" t="s">
        <v>53</v>
      </c>
      <c r="AA164" s="3" t="s">
        <v>53</v>
      </c>
      <c r="AB164" s="3" t="str">
        <f t="shared" si="13"/>
        <v>Effective</v>
      </c>
      <c r="AC164" s="3" t="str">
        <f t="shared" si="14"/>
        <v>Low</v>
      </c>
      <c r="AD164" s="3">
        <f t="shared" si="15"/>
        <v>3</v>
      </c>
      <c r="AE164" s="3">
        <f t="shared" si="16"/>
        <v>3</v>
      </c>
      <c r="AF164" s="3" t="s">
        <v>59</v>
      </c>
      <c r="AG164" s="3"/>
      <c r="AH164" s="3"/>
      <c r="AI164" s="3"/>
      <c r="AJ164" s="3"/>
      <c r="AK164" s="3"/>
      <c r="AL164" s="3" t="s">
        <v>60</v>
      </c>
      <c r="AM164" s="3" t="str">
        <f t="shared" si="17"/>
        <v>Must Have</v>
      </c>
    </row>
    <row r="165" spans="1:39" ht="120" customHeight="1" x14ac:dyDescent="0.35">
      <c r="A165" s="4">
        <v>164</v>
      </c>
      <c r="B165" s="3" t="s">
        <v>39</v>
      </c>
      <c r="C165" s="3" t="s">
        <v>1641</v>
      </c>
      <c r="D165" s="3" t="s">
        <v>1617</v>
      </c>
      <c r="E165" s="3" t="s">
        <v>1642</v>
      </c>
      <c r="F165" s="3" t="s">
        <v>527</v>
      </c>
      <c r="G165" s="3" t="s">
        <v>1619</v>
      </c>
      <c r="H165" s="3" t="s">
        <v>1643</v>
      </c>
      <c r="I165" s="4" t="s">
        <v>1801</v>
      </c>
      <c r="J165" s="3" t="s">
        <v>1802</v>
      </c>
      <c r="K165" s="3" t="s">
        <v>1803</v>
      </c>
      <c r="L165" s="3" t="s">
        <v>1804</v>
      </c>
      <c r="M165" s="3" t="s">
        <v>1805</v>
      </c>
      <c r="N165" s="3" t="s">
        <v>1806</v>
      </c>
      <c r="O165" s="3" t="s">
        <v>1807</v>
      </c>
      <c r="P165" s="3" t="s">
        <v>206</v>
      </c>
      <c r="Q165" s="3" t="s">
        <v>52</v>
      </c>
      <c r="R165" s="3" t="s">
        <v>53</v>
      </c>
      <c r="S165" s="3" t="s">
        <v>1775</v>
      </c>
      <c r="T165" s="3" t="s">
        <v>920</v>
      </c>
      <c r="U165" s="3" t="s">
        <v>1808</v>
      </c>
      <c r="V165" s="3" t="s">
        <v>1809</v>
      </c>
      <c r="W165" s="3" t="s">
        <v>58</v>
      </c>
      <c r="X165" s="3">
        <f t="shared" si="12"/>
        <v>3</v>
      </c>
      <c r="Y165" s="3" t="s">
        <v>53</v>
      </c>
      <c r="Z165" s="3" t="s">
        <v>53</v>
      </c>
      <c r="AA165" s="3" t="s">
        <v>53</v>
      </c>
      <c r="AB165" s="3" t="str">
        <f t="shared" si="13"/>
        <v>Effective</v>
      </c>
      <c r="AC165" s="3" t="str">
        <f t="shared" si="14"/>
        <v>Low</v>
      </c>
      <c r="AD165" s="3">
        <f t="shared" si="15"/>
        <v>3</v>
      </c>
      <c r="AE165" s="3">
        <f t="shared" si="16"/>
        <v>3</v>
      </c>
      <c r="AF165" s="3" t="s">
        <v>59</v>
      </c>
      <c r="AG165" s="3"/>
      <c r="AH165" s="3"/>
      <c r="AI165" s="3"/>
      <c r="AJ165" s="3"/>
      <c r="AK165" s="3"/>
      <c r="AL165" s="3" t="s">
        <v>60</v>
      </c>
      <c r="AM165" s="3" t="str">
        <f t="shared" si="17"/>
        <v>Must Have</v>
      </c>
    </row>
    <row r="166" spans="1:39" ht="132" customHeight="1" x14ac:dyDescent="0.35">
      <c r="A166" s="4">
        <v>165</v>
      </c>
      <c r="B166" s="3" t="s">
        <v>39</v>
      </c>
      <c r="C166" s="3" t="s">
        <v>1641</v>
      </c>
      <c r="D166" s="3" t="s">
        <v>1617</v>
      </c>
      <c r="E166" s="3" t="s">
        <v>1642</v>
      </c>
      <c r="F166" s="3" t="s">
        <v>527</v>
      </c>
      <c r="G166" s="3" t="s">
        <v>1619</v>
      </c>
      <c r="H166" s="3" t="s">
        <v>1643</v>
      </c>
      <c r="I166" s="4" t="s">
        <v>1810</v>
      </c>
      <c r="J166" s="3" t="s">
        <v>1811</v>
      </c>
      <c r="K166" s="3" t="s">
        <v>1812</v>
      </c>
      <c r="L166" s="3" t="s">
        <v>1813</v>
      </c>
      <c r="M166" s="3" t="s">
        <v>1814</v>
      </c>
      <c r="N166" s="3" t="s">
        <v>1815</v>
      </c>
      <c r="O166" s="3" t="s">
        <v>1816</v>
      </c>
      <c r="P166" s="3" t="s">
        <v>51</v>
      </c>
      <c r="Q166" s="3" t="s">
        <v>1817</v>
      </c>
      <c r="R166" s="3" t="s">
        <v>53</v>
      </c>
      <c r="S166" s="3" t="s">
        <v>961</v>
      </c>
      <c r="T166" s="3" t="s">
        <v>68</v>
      </c>
      <c r="U166" s="3" t="s">
        <v>1818</v>
      </c>
      <c r="V166" s="3" t="s">
        <v>1819</v>
      </c>
      <c r="W166" s="3" t="s">
        <v>58</v>
      </c>
      <c r="X166" s="3">
        <f t="shared" si="12"/>
        <v>3</v>
      </c>
      <c r="Y166" s="3" t="s">
        <v>53</v>
      </c>
      <c r="Z166" s="3" t="s">
        <v>53</v>
      </c>
      <c r="AA166" s="3" t="s">
        <v>53</v>
      </c>
      <c r="AB166" s="3" t="str">
        <f t="shared" si="13"/>
        <v>Effective</v>
      </c>
      <c r="AC166" s="3" t="str">
        <f t="shared" si="14"/>
        <v>Low</v>
      </c>
      <c r="AD166" s="3">
        <f t="shared" si="15"/>
        <v>3</v>
      </c>
      <c r="AE166" s="3">
        <f t="shared" si="16"/>
        <v>3</v>
      </c>
      <c r="AF166" s="3" t="s">
        <v>59</v>
      </c>
      <c r="AG166" s="3"/>
      <c r="AH166" s="3"/>
      <c r="AI166" s="3"/>
      <c r="AJ166" s="3"/>
      <c r="AK166" s="3"/>
      <c r="AL166" s="3" t="s">
        <v>60</v>
      </c>
      <c r="AM166" s="3" t="str">
        <f t="shared" si="17"/>
        <v>Must Have</v>
      </c>
    </row>
    <row r="167" spans="1:39" ht="120" customHeight="1" x14ac:dyDescent="0.35">
      <c r="A167" s="4">
        <v>166</v>
      </c>
      <c r="B167" s="3" t="s">
        <v>39</v>
      </c>
      <c r="C167" s="3" t="s">
        <v>1641</v>
      </c>
      <c r="D167" s="3" t="s">
        <v>1617</v>
      </c>
      <c r="E167" s="3" t="s">
        <v>1642</v>
      </c>
      <c r="F167" s="3" t="s">
        <v>527</v>
      </c>
      <c r="G167" s="3" t="s">
        <v>1619</v>
      </c>
      <c r="H167" s="3" t="s">
        <v>1643</v>
      </c>
      <c r="I167" s="4" t="s">
        <v>1820</v>
      </c>
      <c r="J167" s="3" t="s">
        <v>1821</v>
      </c>
      <c r="K167" s="3" t="s">
        <v>1822</v>
      </c>
      <c r="L167" s="3" t="s">
        <v>1823</v>
      </c>
      <c r="M167" s="3" t="s">
        <v>1824</v>
      </c>
      <c r="N167" s="3" t="s">
        <v>1825</v>
      </c>
      <c r="O167" s="3" t="s">
        <v>1826</v>
      </c>
      <c r="P167" s="3" t="s">
        <v>206</v>
      </c>
      <c r="Q167" s="3" t="s">
        <v>52</v>
      </c>
      <c r="R167" s="3" t="s">
        <v>53</v>
      </c>
      <c r="S167" s="3" t="s">
        <v>1827</v>
      </c>
      <c r="T167" s="3" t="s">
        <v>920</v>
      </c>
      <c r="U167" s="3" t="s">
        <v>1828</v>
      </c>
      <c r="V167" s="3" t="s">
        <v>1829</v>
      </c>
      <c r="W167" s="3" t="s">
        <v>58</v>
      </c>
      <c r="X167" s="3">
        <f t="shared" si="12"/>
        <v>3</v>
      </c>
      <c r="Y167" s="3" t="s">
        <v>53</v>
      </c>
      <c r="Z167" s="3" t="s">
        <v>53</v>
      </c>
      <c r="AA167" s="3" t="s">
        <v>53</v>
      </c>
      <c r="AB167" s="3" t="str">
        <f t="shared" si="13"/>
        <v>Effective</v>
      </c>
      <c r="AC167" s="3" t="str">
        <f t="shared" si="14"/>
        <v>Low</v>
      </c>
      <c r="AD167" s="3">
        <f t="shared" si="15"/>
        <v>3</v>
      </c>
      <c r="AE167" s="3">
        <f t="shared" si="16"/>
        <v>3</v>
      </c>
      <c r="AF167" s="3" t="s">
        <v>59</v>
      </c>
      <c r="AG167" s="3"/>
      <c r="AH167" s="3"/>
      <c r="AI167" s="3"/>
      <c r="AJ167" s="3"/>
      <c r="AK167" s="3"/>
      <c r="AL167" s="3" t="s">
        <v>60</v>
      </c>
      <c r="AM167" s="3" t="str">
        <f t="shared" si="17"/>
        <v>Must Have</v>
      </c>
    </row>
    <row r="168" spans="1:39" ht="120" customHeight="1" x14ac:dyDescent="0.35">
      <c r="A168" s="4">
        <v>167</v>
      </c>
      <c r="B168" s="3" t="s">
        <v>39</v>
      </c>
      <c r="C168" s="3" t="s">
        <v>1616</v>
      </c>
      <c r="D168" s="3" t="s">
        <v>1617</v>
      </c>
      <c r="E168" s="3" t="s">
        <v>1618</v>
      </c>
      <c r="F168" s="3" t="s">
        <v>527</v>
      </c>
      <c r="G168" s="3" t="s">
        <v>1619</v>
      </c>
      <c r="H168" s="3" t="s">
        <v>1620</v>
      </c>
      <c r="I168" s="4" t="s">
        <v>1830</v>
      </c>
      <c r="J168" s="3" t="s">
        <v>1831</v>
      </c>
      <c r="K168" s="3" t="s">
        <v>1832</v>
      </c>
      <c r="L168" s="3" t="s">
        <v>1833</v>
      </c>
      <c r="M168" s="3" t="s">
        <v>1834</v>
      </c>
      <c r="N168" s="3" t="s">
        <v>1835</v>
      </c>
      <c r="O168" s="3" t="s">
        <v>1836</v>
      </c>
      <c r="P168" s="3" t="s">
        <v>51</v>
      </c>
      <c r="Q168" s="3" t="s">
        <v>323</v>
      </c>
      <c r="R168" s="3" t="s">
        <v>154</v>
      </c>
      <c r="S168" s="3" t="s">
        <v>909</v>
      </c>
      <c r="T168" s="3" t="s">
        <v>68</v>
      </c>
      <c r="U168" s="3" t="s">
        <v>1837</v>
      </c>
      <c r="V168" s="3" t="s">
        <v>911</v>
      </c>
      <c r="W168" s="3" t="s">
        <v>159</v>
      </c>
      <c r="X168" s="3">
        <f t="shared" si="12"/>
        <v>2</v>
      </c>
      <c r="Y168" s="3" t="s">
        <v>53</v>
      </c>
      <c r="Z168" s="3" t="s">
        <v>53</v>
      </c>
      <c r="AA168" s="3" t="s">
        <v>53</v>
      </c>
      <c r="AB168" s="3" t="str">
        <f t="shared" si="13"/>
        <v>Effective</v>
      </c>
      <c r="AC168" s="3" t="str">
        <f t="shared" si="14"/>
        <v>Low</v>
      </c>
      <c r="AD168" s="3">
        <f t="shared" si="15"/>
        <v>2</v>
      </c>
      <c r="AE168" s="3">
        <f t="shared" si="16"/>
        <v>2</v>
      </c>
      <c r="AF168" s="3" t="s">
        <v>59</v>
      </c>
      <c r="AG168" s="3"/>
      <c r="AH168" s="3"/>
      <c r="AI168" s="3"/>
      <c r="AJ168" s="3"/>
      <c r="AK168" s="3"/>
      <c r="AL168" s="3" t="s">
        <v>60</v>
      </c>
      <c r="AM168" s="3" t="str">
        <f t="shared" si="17"/>
        <v>Should Have</v>
      </c>
    </row>
    <row r="169" spans="1:39" ht="120" customHeight="1" x14ac:dyDescent="0.35">
      <c r="A169" s="4">
        <v>168</v>
      </c>
      <c r="B169" s="3" t="s">
        <v>39</v>
      </c>
      <c r="C169" s="3" t="s">
        <v>1641</v>
      </c>
      <c r="D169" s="3" t="s">
        <v>1617</v>
      </c>
      <c r="E169" s="3" t="s">
        <v>1642</v>
      </c>
      <c r="F169" s="3" t="s">
        <v>527</v>
      </c>
      <c r="G169" s="3" t="s">
        <v>1619</v>
      </c>
      <c r="H169" s="3" t="s">
        <v>1643</v>
      </c>
      <c r="I169" s="4" t="s">
        <v>1838</v>
      </c>
      <c r="J169" s="3" t="s">
        <v>1839</v>
      </c>
      <c r="K169" s="3" t="s">
        <v>1840</v>
      </c>
      <c r="L169" s="3" t="s">
        <v>1841</v>
      </c>
      <c r="M169" s="3" t="s">
        <v>1842</v>
      </c>
      <c r="N169" s="3" t="s">
        <v>1843</v>
      </c>
      <c r="O169" s="3" t="s">
        <v>1844</v>
      </c>
      <c r="P169" s="3" t="s">
        <v>122</v>
      </c>
      <c r="Q169" s="3" t="s">
        <v>1845</v>
      </c>
      <c r="R169" s="3" t="s">
        <v>53</v>
      </c>
      <c r="S169" s="3" t="s">
        <v>1846</v>
      </c>
      <c r="T169" s="3" t="s">
        <v>920</v>
      </c>
      <c r="U169" s="3" t="s">
        <v>1847</v>
      </c>
      <c r="V169" s="3" t="s">
        <v>1848</v>
      </c>
      <c r="W169" s="3" t="s">
        <v>58</v>
      </c>
      <c r="X169" s="3">
        <f t="shared" si="12"/>
        <v>3</v>
      </c>
      <c r="Y169" s="3" t="s">
        <v>53</v>
      </c>
      <c r="Z169" s="3" t="s">
        <v>53</v>
      </c>
      <c r="AA169" s="3" t="s">
        <v>53</v>
      </c>
      <c r="AB169" s="3" t="str">
        <f t="shared" si="13"/>
        <v>Effective</v>
      </c>
      <c r="AC169" s="3" t="str">
        <f t="shared" si="14"/>
        <v>Low</v>
      </c>
      <c r="AD169" s="3">
        <f t="shared" si="15"/>
        <v>3</v>
      </c>
      <c r="AE169" s="3">
        <f t="shared" si="16"/>
        <v>3</v>
      </c>
      <c r="AF169" s="3" t="s">
        <v>59</v>
      </c>
      <c r="AG169" s="3"/>
      <c r="AH169" s="3"/>
      <c r="AI169" s="3"/>
      <c r="AJ169" s="3"/>
      <c r="AK169" s="3"/>
      <c r="AL169" s="3" t="s">
        <v>60</v>
      </c>
      <c r="AM169" s="3" t="str">
        <f t="shared" si="17"/>
        <v>Must Have</v>
      </c>
    </row>
    <row r="170" spans="1:39" ht="120" customHeight="1" x14ac:dyDescent="0.35">
      <c r="A170" s="4">
        <v>169</v>
      </c>
      <c r="B170" s="3" t="s">
        <v>39</v>
      </c>
      <c r="C170" s="3" t="s">
        <v>1641</v>
      </c>
      <c r="D170" s="3" t="s">
        <v>1617</v>
      </c>
      <c r="E170" s="3" t="s">
        <v>1642</v>
      </c>
      <c r="F170" s="3" t="s">
        <v>527</v>
      </c>
      <c r="G170" s="3" t="s">
        <v>1619</v>
      </c>
      <c r="H170" s="3" t="s">
        <v>1643</v>
      </c>
      <c r="I170" s="4" t="s">
        <v>1849</v>
      </c>
      <c r="J170" s="3" t="s">
        <v>1850</v>
      </c>
      <c r="K170" s="3" t="s">
        <v>1851</v>
      </c>
      <c r="L170" s="3" t="s">
        <v>1852</v>
      </c>
      <c r="M170" s="3" t="s">
        <v>1853</v>
      </c>
      <c r="N170" s="3" t="s">
        <v>1854</v>
      </c>
      <c r="O170" s="3" t="s">
        <v>1855</v>
      </c>
      <c r="P170" s="3" t="s">
        <v>51</v>
      </c>
      <c r="Q170" s="3" t="s">
        <v>52</v>
      </c>
      <c r="R170" s="3" t="s">
        <v>154</v>
      </c>
      <c r="S170" s="3" t="s">
        <v>1856</v>
      </c>
      <c r="T170" s="3" t="s">
        <v>1857</v>
      </c>
      <c r="U170" s="3" t="s">
        <v>1858</v>
      </c>
      <c r="V170" s="3" t="s">
        <v>1859</v>
      </c>
      <c r="W170" s="3" t="s">
        <v>159</v>
      </c>
      <c r="X170" s="3">
        <f t="shared" si="12"/>
        <v>2</v>
      </c>
      <c r="Y170" s="3" t="s">
        <v>53</v>
      </c>
      <c r="Z170" s="3" t="s">
        <v>53</v>
      </c>
      <c r="AA170" s="3" t="s">
        <v>53</v>
      </c>
      <c r="AB170" s="3" t="str">
        <f t="shared" si="13"/>
        <v>Effective</v>
      </c>
      <c r="AC170" s="3" t="str">
        <f t="shared" si="14"/>
        <v>Low</v>
      </c>
      <c r="AD170" s="3">
        <f t="shared" si="15"/>
        <v>2</v>
      </c>
      <c r="AE170" s="3">
        <f t="shared" si="16"/>
        <v>2</v>
      </c>
      <c r="AF170" s="3" t="s">
        <v>59</v>
      </c>
      <c r="AG170" s="3"/>
      <c r="AH170" s="3"/>
      <c r="AI170" s="3"/>
      <c r="AJ170" s="3"/>
      <c r="AK170" s="3"/>
      <c r="AL170" s="3" t="s">
        <v>60</v>
      </c>
      <c r="AM170" s="3" t="str">
        <f t="shared" si="17"/>
        <v>Should Have</v>
      </c>
    </row>
    <row r="171" spans="1:39" ht="120" customHeight="1" x14ac:dyDescent="0.35">
      <c r="A171" s="4">
        <v>170</v>
      </c>
      <c r="B171" s="3" t="s">
        <v>39</v>
      </c>
      <c r="C171" s="3" t="s">
        <v>1641</v>
      </c>
      <c r="D171" s="3" t="s">
        <v>1617</v>
      </c>
      <c r="E171" s="3" t="s">
        <v>1642</v>
      </c>
      <c r="F171" s="3" t="s">
        <v>527</v>
      </c>
      <c r="G171" s="3" t="s">
        <v>1619</v>
      </c>
      <c r="H171" s="3" t="s">
        <v>1643</v>
      </c>
      <c r="I171" s="4" t="s">
        <v>1860</v>
      </c>
      <c r="J171" s="3" t="s">
        <v>1861</v>
      </c>
      <c r="K171" s="3" t="s">
        <v>1862</v>
      </c>
      <c r="L171" s="3" t="s">
        <v>1863</v>
      </c>
      <c r="M171" s="3" t="s">
        <v>1864</v>
      </c>
      <c r="N171" s="3" t="s">
        <v>1865</v>
      </c>
      <c r="O171" s="3" t="s">
        <v>1866</v>
      </c>
      <c r="P171" s="3" t="s">
        <v>51</v>
      </c>
      <c r="Q171" s="3" t="s">
        <v>1817</v>
      </c>
      <c r="R171" s="3" t="s">
        <v>53</v>
      </c>
      <c r="S171" s="3" t="s">
        <v>324</v>
      </c>
      <c r="T171" s="3" t="s">
        <v>920</v>
      </c>
      <c r="U171" s="3" t="s">
        <v>1867</v>
      </c>
      <c r="V171" s="3" t="s">
        <v>1868</v>
      </c>
      <c r="W171" s="3" t="s">
        <v>58</v>
      </c>
      <c r="X171" s="3">
        <f t="shared" si="12"/>
        <v>3</v>
      </c>
      <c r="Y171" s="3" t="s">
        <v>53</v>
      </c>
      <c r="Z171" s="3" t="s">
        <v>53</v>
      </c>
      <c r="AA171" s="3" t="s">
        <v>53</v>
      </c>
      <c r="AB171" s="3" t="str">
        <f t="shared" si="13"/>
        <v>Effective</v>
      </c>
      <c r="AC171" s="3" t="str">
        <f t="shared" si="14"/>
        <v>Low</v>
      </c>
      <c r="AD171" s="3">
        <f t="shared" si="15"/>
        <v>3</v>
      </c>
      <c r="AE171" s="3">
        <f t="shared" si="16"/>
        <v>3</v>
      </c>
      <c r="AF171" s="3" t="s">
        <v>59</v>
      </c>
      <c r="AG171" s="3"/>
      <c r="AH171" s="3"/>
      <c r="AI171" s="3"/>
      <c r="AJ171" s="3"/>
      <c r="AK171" s="3"/>
      <c r="AL171" s="3" t="s">
        <v>60</v>
      </c>
      <c r="AM171" s="3" t="str">
        <f t="shared" si="17"/>
        <v>Must Have</v>
      </c>
    </row>
    <row r="172" spans="1:39" ht="108" customHeight="1" x14ac:dyDescent="0.35">
      <c r="A172" s="4">
        <v>171</v>
      </c>
      <c r="B172" s="3" t="s">
        <v>39</v>
      </c>
      <c r="C172" s="3" t="s">
        <v>1869</v>
      </c>
      <c r="D172" s="3" t="s">
        <v>1870</v>
      </c>
      <c r="E172" s="3" t="s">
        <v>1871</v>
      </c>
      <c r="F172" s="3" t="s">
        <v>42</v>
      </c>
      <c r="G172" s="3" t="s">
        <v>1872</v>
      </c>
      <c r="H172" s="3" t="s">
        <v>1873</v>
      </c>
      <c r="I172" s="4" t="s">
        <v>1874</v>
      </c>
      <c r="J172" s="3" t="s">
        <v>1875</v>
      </c>
      <c r="K172" s="3" t="s">
        <v>1876</v>
      </c>
      <c r="L172" s="3" t="s">
        <v>1877</v>
      </c>
      <c r="M172" s="3" t="s">
        <v>1878</v>
      </c>
      <c r="N172" s="3" t="s">
        <v>1879</v>
      </c>
      <c r="O172" s="3" t="s">
        <v>1880</v>
      </c>
      <c r="P172" s="3" t="s">
        <v>51</v>
      </c>
      <c r="Q172" s="3" t="s">
        <v>52</v>
      </c>
      <c r="R172" s="3" t="s">
        <v>53</v>
      </c>
      <c r="S172" s="3" t="s">
        <v>1881</v>
      </c>
      <c r="T172" s="3" t="s">
        <v>55</v>
      </c>
      <c r="U172" s="3" t="s">
        <v>1882</v>
      </c>
      <c r="V172" s="3" t="s">
        <v>1883</v>
      </c>
      <c r="W172" s="3" t="s">
        <v>58</v>
      </c>
      <c r="X172" s="3">
        <f t="shared" si="12"/>
        <v>3</v>
      </c>
      <c r="Y172" s="3" t="s">
        <v>53</v>
      </c>
      <c r="Z172" s="3" t="s">
        <v>53</v>
      </c>
      <c r="AA172" s="3" t="s">
        <v>53</v>
      </c>
      <c r="AB172" s="3" t="str">
        <f t="shared" si="13"/>
        <v>Effective</v>
      </c>
      <c r="AC172" s="3" t="str">
        <f t="shared" si="14"/>
        <v>Low</v>
      </c>
      <c r="AD172" s="3">
        <f t="shared" si="15"/>
        <v>3</v>
      </c>
      <c r="AE172" s="3">
        <f t="shared" si="16"/>
        <v>3</v>
      </c>
      <c r="AF172" s="3" t="s">
        <v>59</v>
      </c>
      <c r="AG172" s="3"/>
      <c r="AH172" s="3"/>
      <c r="AI172" s="3"/>
      <c r="AJ172" s="3"/>
      <c r="AK172" s="3"/>
      <c r="AL172" s="3" t="s">
        <v>60</v>
      </c>
      <c r="AM172" s="3" t="str">
        <f t="shared" si="17"/>
        <v>Must Have</v>
      </c>
    </row>
    <row r="173" spans="1:39" ht="108" customHeight="1" x14ac:dyDescent="0.35">
      <c r="A173" s="4">
        <v>172</v>
      </c>
      <c r="B173" s="3" t="s">
        <v>39</v>
      </c>
      <c r="C173" s="3" t="s">
        <v>1869</v>
      </c>
      <c r="D173" s="3" t="s">
        <v>1870</v>
      </c>
      <c r="E173" s="3" t="s">
        <v>1871</v>
      </c>
      <c r="F173" s="3" t="s">
        <v>42</v>
      </c>
      <c r="G173" s="3" t="s">
        <v>1872</v>
      </c>
      <c r="H173" s="3" t="s">
        <v>1873</v>
      </c>
      <c r="I173" s="4" t="s">
        <v>1884</v>
      </c>
      <c r="J173" s="3" t="s">
        <v>1885</v>
      </c>
      <c r="K173" s="3" t="s">
        <v>1886</v>
      </c>
      <c r="L173" s="3" t="s">
        <v>1887</v>
      </c>
      <c r="M173" s="3" t="s">
        <v>1888</v>
      </c>
      <c r="N173" s="3" t="s">
        <v>1889</v>
      </c>
      <c r="O173" s="3" t="s">
        <v>1890</v>
      </c>
      <c r="P173" s="3" t="s">
        <v>51</v>
      </c>
      <c r="Q173" s="3" t="s">
        <v>52</v>
      </c>
      <c r="R173" s="3" t="s">
        <v>53</v>
      </c>
      <c r="S173" s="3" t="s">
        <v>1881</v>
      </c>
      <c r="T173" s="3" t="s">
        <v>55</v>
      </c>
      <c r="U173" s="3" t="s">
        <v>1891</v>
      </c>
      <c r="V173" s="3" t="s">
        <v>1883</v>
      </c>
      <c r="W173" s="3" t="s">
        <v>58</v>
      </c>
      <c r="X173" s="3">
        <f t="shared" si="12"/>
        <v>3</v>
      </c>
      <c r="Y173" s="3" t="s">
        <v>53</v>
      </c>
      <c r="Z173" s="3" t="s">
        <v>53</v>
      </c>
      <c r="AA173" s="3" t="s">
        <v>53</v>
      </c>
      <c r="AB173" s="3" t="str">
        <f t="shared" si="13"/>
        <v>Effective</v>
      </c>
      <c r="AC173" s="3" t="str">
        <f t="shared" si="14"/>
        <v>Low</v>
      </c>
      <c r="AD173" s="3">
        <f t="shared" si="15"/>
        <v>3</v>
      </c>
      <c r="AE173" s="3">
        <f t="shared" si="16"/>
        <v>3</v>
      </c>
      <c r="AF173" s="3" t="s">
        <v>59</v>
      </c>
      <c r="AG173" s="3"/>
      <c r="AH173" s="3"/>
      <c r="AI173" s="3"/>
      <c r="AJ173" s="3"/>
      <c r="AK173" s="3"/>
      <c r="AL173" s="3" t="s">
        <v>60</v>
      </c>
      <c r="AM173" s="3" t="str">
        <f t="shared" si="17"/>
        <v>Must Have</v>
      </c>
    </row>
    <row r="174" spans="1:39" ht="108" customHeight="1" x14ac:dyDescent="0.35">
      <c r="A174" s="4">
        <v>173</v>
      </c>
      <c r="B174" s="3" t="s">
        <v>39</v>
      </c>
      <c r="C174" s="3" t="s">
        <v>1869</v>
      </c>
      <c r="D174" s="3" t="s">
        <v>1870</v>
      </c>
      <c r="E174" s="3" t="s">
        <v>1871</v>
      </c>
      <c r="F174" s="3" t="s">
        <v>42</v>
      </c>
      <c r="G174" s="3" t="s">
        <v>1872</v>
      </c>
      <c r="H174" s="3" t="s">
        <v>1873</v>
      </c>
      <c r="I174" s="4" t="s">
        <v>1892</v>
      </c>
      <c r="J174" s="3" t="s">
        <v>1893</v>
      </c>
      <c r="K174" s="3" t="s">
        <v>1894</v>
      </c>
      <c r="L174" s="3" t="s">
        <v>1895</v>
      </c>
      <c r="M174" s="3" t="s">
        <v>1896</v>
      </c>
      <c r="N174" s="3" t="s">
        <v>1897</v>
      </c>
      <c r="O174" s="3" t="s">
        <v>1898</v>
      </c>
      <c r="P174" s="3" t="s">
        <v>51</v>
      </c>
      <c r="Q174" s="3" t="s">
        <v>52</v>
      </c>
      <c r="R174" s="3" t="s">
        <v>53</v>
      </c>
      <c r="S174" s="3" t="s">
        <v>1881</v>
      </c>
      <c r="T174" s="3" t="s">
        <v>55</v>
      </c>
      <c r="U174" s="3" t="s">
        <v>1899</v>
      </c>
      <c r="V174" s="3" t="s">
        <v>1883</v>
      </c>
      <c r="W174" s="3" t="s">
        <v>58</v>
      </c>
      <c r="X174" s="3">
        <f t="shared" si="12"/>
        <v>3</v>
      </c>
      <c r="Y174" s="3" t="s">
        <v>53</v>
      </c>
      <c r="Z174" s="3" t="s">
        <v>53</v>
      </c>
      <c r="AA174" s="3" t="s">
        <v>53</v>
      </c>
      <c r="AB174" s="3" t="str">
        <f t="shared" si="13"/>
        <v>Effective</v>
      </c>
      <c r="AC174" s="3" t="str">
        <f t="shared" si="14"/>
        <v>Low</v>
      </c>
      <c r="AD174" s="3">
        <f t="shared" si="15"/>
        <v>3</v>
      </c>
      <c r="AE174" s="3">
        <f t="shared" si="16"/>
        <v>3</v>
      </c>
      <c r="AF174" s="3" t="s">
        <v>59</v>
      </c>
      <c r="AG174" s="3"/>
      <c r="AH174" s="3"/>
      <c r="AI174" s="3"/>
      <c r="AJ174" s="3"/>
      <c r="AK174" s="3"/>
      <c r="AL174" s="3" t="s">
        <v>60</v>
      </c>
      <c r="AM174" s="3" t="str">
        <f t="shared" si="17"/>
        <v>Must Have</v>
      </c>
    </row>
    <row r="175" spans="1:39" ht="108" customHeight="1" x14ac:dyDescent="0.35">
      <c r="A175" s="4">
        <v>174</v>
      </c>
      <c r="B175" s="3" t="s">
        <v>39</v>
      </c>
      <c r="C175" s="3" t="s">
        <v>1869</v>
      </c>
      <c r="D175" s="3" t="s">
        <v>1870</v>
      </c>
      <c r="E175" s="3" t="s">
        <v>1871</v>
      </c>
      <c r="F175" s="3" t="s">
        <v>42</v>
      </c>
      <c r="G175" s="3" t="s">
        <v>1872</v>
      </c>
      <c r="H175" s="3" t="s">
        <v>1873</v>
      </c>
      <c r="I175" s="4" t="s">
        <v>1900</v>
      </c>
      <c r="J175" s="3" t="s">
        <v>1901</v>
      </c>
      <c r="K175" s="3" t="s">
        <v>1902</v>
      </c>
      <c r="L175" s="3" t="s">
        <v>1903</v>
      </c>
      <c r="M175" s="3" t="s">
        <v>1904</v>
      </c>
      <c r="N175" s="3" t="s">
        <v>1905</v>
      </c>
      <c r="O175" s="3" t="s">
        <v>1906</v>
      </c>
      <c r="P175" s="3" t="s">
        <v>51</v>
      </c>
      <c r="Q175" s="3" t="s">
        <v>52</v>
      </c>
      <c r="R175" s="3" t="s">
        <v>53</v>
      </c>
      <c r="S175" s="3" t="s">
        <v>1881</v>
      </c>
      <c r="T175" s="3" t="s">
        <v>920</v>
      </c>
      <c r="U175" s="3" t="s">
        <v>1907</v>
      </c>
      <c r="V175" s="3" t="s">
        <v>1908</v>
      </c>
      <c r="W175" s="3" t="s">
        <v>58</v>
      </c>
      <c r="X175" s="3">
        <f t="shared" si="12"/>
        <v>3</v>
      </c>
      <c r="Y175" s="3" t="s">
        <v>53</v>
      </c>
      <c r="Z175" s="3" t="s">
        <v>53</v>
      </c>
      <c r="AA175" s="3" t="s">
        <v>53</v>
      </c>
      <c r="AB175" s="3" t="str">
        <f t="shared" si="13"/>
        <v>Effective</v>
      </c>
      <c r="AC175" s="3" t="str">
        <f t="shared" si="14"/>
        <v>Low</v>
      </c>
      <c r="AD175" s="3">
        <f t="shared" si="15"/>
        <v>3</v>
      </c>
      <c r="AE175" s="3">
        <f t="shared" si="16"/>
        <v>3</v>
      </c>
      <c r="AF175" s="3" t="s">
        <v>59</v>
      </c>
      <c r="AG175" s="3"/>
      <c r="AH175" s="3"/>
      <c r="AI175" s="3"/>
      <c r="AJ175" s="3"/>
      <c r="AK175" s="3"/>
      <c r="AL175" s="3" t="s">
        <v>60</v>
      </c>
      <c r="AM175" s="3" t="str">
        <f t="shared" si="17"/>
        <v>Must Have</v>
      </c>
    </row>
    <row r="176" spans="1:39" ht="108" customHeight="1" x14ac:dyDescent="0.35">
      <c r="A176" s="4">
        <v>175</v>
      </c>
      <c r="B176" s="3" t="s">
        <v>39</v>
      </c>
      <c r="C176" s="3" t="s">
        <v>1909</v>
      </c>
      <c r="D176" s="3" t="s">
        <v>1870</v>
      </c>
      <c r="E176" s="3" t="s">
        <v>1910</v>
      </c>
      <c r="F176" s="3" t="s">
        <v>42</v>
      </c>
      <c r="G176" s="3" t="s">
        <v>1872</v>
      </c>
      <c r="H176" s="3" t="s">
        <v>1911</v>
      </c>
      <c r="I176" s="4" t="s">
        <v>1912</v>
      </c>
      <c r="J176" s="3" t="s">
        <v>1913</v>
      </c>
      <c r="K176" s="3" t="s">
        <v>1914</v>
      </c>
      <c r="L176" s="3" t="s">
        <v>1915</v>
      </c>
      <c r="M176" s="3" t="s">
        <v>1916</v>
      </c>
      <c r="N176" s="3" t="s">
        <v>1917</v>
      </c>
      <c r="O176" s="3" t="s">
        <v>1918</v>
      </c>
      <c r="P176" s="3" t="s">
        <v>51</v>
      </c>
      <c r="Q176" s="3" t="s">
        <v>52</v>
      </c>
      <c r="R176" s="3" t="s">
        <v>53</v>
      </c>
      <c r="S176" s="3" t="s">
        <v>1919</v>
      </c>
      <c r="T176" s="3" t="s">
        <v>55</v>
      </c>
      <c r="U176" s="3" t="s">
        <v>1920</v>
      </c>
      <c r="V176" s="3" t="s">
        <v>1921</v>
      </c>
      <c r="W176" s="3" t="s">
        <v>58</v>
      </c>
      <c r="X176" s="3">
        <f t="shared" si="12"/>
        <v>3</v>
      </c>
      <c r="Y176" s="3" t="s">
        <v>53</v>
      </c>
      <c r="Z176" s="3" t="s">
        <v>53</v>
      </c>
      <c r="AA176" s="3" t="s">
        <v>53</v>
      </c>
      <c r="AB176" s="3" t="str">
        <f t="shared" si="13"/>
        <v>Effective</v>
      </c>
      <c r="AC176" s="3" t="str">
        <f t="shared" si="14"/>
        <v>Low</v>
      </c>
      <c r="AD176" s="3">
        <f t="shared" si="15"/>
        <v>3</v>
      </c>
      <c r="AE176" s="3">
        <f t="shared" si="16"/>
        <v>3</v>
      </c>
      <c r="AF176" s="3" t="s">
        <v>59</v>
      </c>
      <c r="AG176" s="3"/>
      <c r="AH176" s="3"/>
      <c r="AI176" s="3"/>
      <c r="AJ176" s="3"/>
      <c r="AK176" s="3"/>
      <c r="AL176" s="3" t="s">
        <v>60</v>
      </c>
      <c r="AM176" s="3" t="str">
        <f t="shared" si="17"/>
        <v>Must Have</v>
      </c>
    </row>
    <row r="177" spans="1:39" ht="108" customHeight="1" x14ac:dyDescent="0.35">
      <c r="A177" s="4">
        <v>176</v>
      </c>
      <c r="B177" s="3" t="s">
        <v>39</v>
      </c>
      <c r="C177" s="3" t="s">
        <v>1909</v>
      </c>
      <c r="D177" s="3" t="s">
        <v>1870</v>
      </c>
      <c r="E177" s="3" t="s">
        <v>1910</v>
      </c>
      <c r="F177" s="3" t="s">
        <v>42</v>
      </c>
      <c r="G177" s="3" t="s">
        <v>1872</v>
      </c>
      <c r="H177" s="3" t="s">
        <v>1911</v>
      </c>
      <c r="I177" s="4" t="s">
        <v>1922</v>
      </c>
      <c r="J177" s="3" t="s">
        <v>1923</v>
      </c>
      <c r="K177" s="3" t="s">
        <v>1924</v>
      </c>
      <c r="L177" s="3" t="s">
        <v>1925</v>
      </c>
      <c r="M177" s="3" t="s">
        <v>1926</v>
      </c>
      <c r="N177" s="3" t="s">
        <v>1927</v>
      </c>
      <c r="O177" s="3" t="s">
        <v>1928</v>
      </c>
      <c r="P177" s="3" t="s">
        <v>51</v>
      </c>
      <c r="Q177" s="3" t="s">
        <v>52</v>
      </c>
      <c r="R177" s="3" t="s">
        <v>53</v>
      </c>
      <c r="S177" s="3" t="s">
        <v>1919</v>
      </c>
      <c r="T177" s="3" t="s">
        <v>55</v>
      </c>
      <c r="U177" s="3" t="s">
        <v>1929</v>
      </c>
      <c r="V177" s="3" t="s">
        <v>1921</v>
      </c>
      <c r="W177" s="3" t="s">
        <v>58</v>
      </c>
      <c r="X177" s="3">
        <f t="shared" si="12"/>
        <v>3</v>
      </c>
      <c r="Y177" s="3" t="s">
        <v>53</v>
      </c>
      <c r="Z177" s="3" t="s">
        <v>53</v>
      </c>
      <c r="AA177" s="3" t="s">
        <v>53</v>
      </c>
      <c r="AB177" s="3" t="str">
        <f t="shared" si="13"/>
        <v>Effective</v>
      </c>
      <c r="AC177" s="3" t="str">
        <f t="shared" si="14"/>
        <v>Low</v>
      </c>
      <c r="AD177" s="3">
        <f t="shared" si="15"/>
        <v>3</v>
      </c>
      <c r="AE177" s="3">
        <f t="shared" si="16"/>
        <v>3</v>
      </c>
      <c r="AF177" s="3" t="s">
        <v>59</v>
      </c>
      <c r="AG177" s="3"/>
      <c r="AH177" s="3"/>
      <c r="AI177" s="3"/>
      <c r="AJ177" s="3"/>
      <c r="AK177" s="3"/>
      <c r="AL177" s="3" t="s">
        <v>60</v>
      </c>
      <c r="AM177" s="3" t="str">
        <f t="shared" si="17"/>
        <v>Must Have</v>
      </c>
    </row>
    <row r="178" spans="1:39" ht="108" customHeight="1" x14ac:dyDescent="0.35">
      <c r="A178" s="4">
        <v>177</v>
      </c>
      <c r="B178" s="3" t="s">
        <v>39</v>
      </c>
      <c r="C178" s="3" t="s">
        <v>1909</v>
      </c>
      <c r="D178" s="3" t="s">
        <v>1870</v>
      </c>
      <c r="E178" s="3" t="s">
        <v>1910</v>
      </c>
      <c r="F178" s="3" t="s">
        <v>42</v>
      </c>
      <c r="G178" s="3" t="s">
        <v>1872</v>
      </c>
      <c r="H178" s="3" t="s">
        <v>1911</v>
      </c>
      <c r="I178" s="4" t="s">
        <v>1930</v>
      </c>
      <c r="J178" s="3" t="s">
        <v>1931</v>
      </c>
      <c r="K178" s="3" t="s">
        <v>1932</v>
      </c>
      <c r="L178" s="3" t="s">
        <v>1933</v>
      </c>
      <c r="M178" s="3" t="s">
        <v>1934</v>
      </c>
      <c r="N178" s="3" t="s">
        <v>1935</v>
      </c>
      <c r="O178" s="3" t="s">
        <v>1936</v>
      </c>
      <c r="P178" s="3" t="s">
        <v>51</v>
      </c>
      <c r="Q178" s="3" t="s">
        <v>52</v>
      </c>
      <c r="R178" s="3" t="s">
        <v>53</v>
      </c>
      <c r="S178" s="3" t="s">
        <v>1919</v>
      </c>
      <c r="T178" s="3" t="s">
        <v>55</v>
      </c>
      <c r="U178" s="3" t="s">
        <v>1937</v>
      </c>
      <c r="V178" s="3" t="s">
        <v>1921</v>
      </c>
      <c r="W178" s="3" t="s">
        <v>58</v>
      </c>
      <c r="X178" s="3">
        <f t="shared" si="12"/>
        <v>3</v>
      </c>
      <c r="Y178" s="3" t="s">
        <v>53</v>
      </c>
      <c r="Z178" s="3" t="s">
        <v>53</v>
      </c>
      <c r="AA178" s="3" t="s">
        <v>53</v>
      </c>
      <c r="AB178" s="3" t="str">
        <f t="shared" si="13"/>
        <v>Effective</v>
      </c>
      <c r="AC178" s="3" t="str">
        <f t="shared" si="14"/>
        <v>Low</v>
      </c>
      <c r="AD178" s="3">
        <f t="shared" si="15"/>
        <v>3</v>
      </c>
      <c r="AE178" s="3">
        <f t="shared" si="16"/>
        <v>3</v>
      </c>
      <c r="AF178" s="3" t="s">
        <v>59</v>
      </c>
      <c r="AG178" s="3"/>
      <c r="AH178" s="3"/>
      <c r="AI178" s="3"/>
      <c r="AJ178" s="3"/>
      <c r="AK178" s="3"/>
      <c r="AL178" s="3" t="s">
        <v>60</v>
      </c>
      <c r="AM178" s="3" t="str">
        <f t="shared" si="17"/>
        <v>Must Have</v>
      </c>
    </row>
    <row r="179" spans="1:39" ht="108" customHeight="1" x14ac:dyDescent="0.35">
      <c r="A179" s="4">
        <v>178</v>
      </c>
      <c r="B179" s="3" t="s">
        <v>39</v>
      </c>
      <c r="C179" s="3" t="s">
        <v>1938</v>
      </c>
      <c r="D179" s="3" t="s">
        <v>1870</v>
      </c>
      <c r="E179" s="3" t="s">
        <v>1939</v>
      </c>
      <c r="F179" s="3" t="s">
        <v>42</v>
      </c>
      <c r="G179" s="3" t="s">
        <v>1872</v>
      </c>
      <c r="H179" s="3" t="s">
        <v>1940</v>
      </c>
      <c r="I179" s="4" t="s">
        <v>1941</v>
      </c>
      <c r="J179" s="3" t="s">
        <v>1942</v>
      </c>
      <c r="K179" s="3" t="s">
        <v>1943</v>
      </c>
      <c r="L179" s="3" t="s">
        <v>1944</v>
      </c>
      <c r="M179" s="3" t="s">
        <v>1945</v>
      </c>
      <c r="N179" s="3" t="s">
        <v>1946</v>
      </c>
      <c r="O179" s="3" t="s">
        <v>1947</v>
      </c>
      <c r="P179" s="3" t="s">
        <v>51</v>
      </c>
      <c r="Q179" s="3" t="s">
        <v>52</v>
      </c>
      <c r="R179" s="3" t="s">
        <v>53</v>
      </c>
      <c r="S179" s="3" t="s">
        <v>1018</v>
      </c>
      <c r="T179" s="3" t="s">
        <v>1948</v>
      </c>
      <c r="U179" s="3" t="s">
        <v>1949</v>
      </c>
      <c r="V179" s="3" t="s">
        <v>1950</v>
      </c>
      <c r="W179" s="3" t="s">
        <v>58</v>
      </c>
      <c r="X179" s="3">
        <f t="shared" si="12"/>
        <v>3</v>
      </c>
      <c r="Y179" s="3" t="s">
        <v>53</v>
      </c>
      <c r="Z179" s="3" t="s">
        <v>53</v>
      </c>
      <c r="AA179" s="3" t="s">
        <v>53</v>
      </c>
      <c r="AB179" s="3" t="str">
        <f t="shared" si="13"/>
        <v>Effective</v>
      </c>
      <c r="AC179" s="3" t="str">
        <f t="shared" si="14"/>
        <v>Low</v>
      </c>
      <c r="AD179" s="3">
        <f t="shared" si="15"/>
        <v>3</v>
      </c>
      <c r="AE179" s="3">
        <f t="shared" si="16"/>
        <v>3</v>
      </c>
      <c r="AF179" s="3" t="s">
        <v>59</v>
      </c>
      <c r="AG179" s="3"/>
      <c r="AH179" s="3"/>
      <c r="AI179" s="3"/>
      <c r="AJ179" s="3"/>
      <c r="AK179" s="3"/>
      <c r="AL179" s="3" t="s">
        <v>60</v>
      </c>
      <c r="AM179" s="3" t="str">
        <f t="shared" si="17"/>
        <v>Must Have</v>
      </c>
    </row>
    <row r="180" spans="1:39" ht="108" customHeight="1" x14ac:dyDescent="0.35">
      <c r="A180" s="4">
        <v>179</v>
      </c>
      <c r="B180" s="3" t="s">
        <v>39</v>
      </c>
      <c r="C180" s="3" t="s">
        <v>1938</v>
      </c>
      <c r="D180" s="3" t="s">
        <v>1870</v>
      </c>
      <c r="E180" s="3" t="s">
        <v>1939</v>
      </c>
      <c r="F180" s="3" t="s">
        <v>42</v>
      </c>
      <c r="G180" s="3" t="s">
        <v>1872</v>
      </c>
      <c r="H180" s="3" t="s">
        <v>1940</v>
      </c>
      <c r="I180" s="4" t="s">
        <v>1951</v>
      </c>
      <c r="J180" s="3" t="s">
        <v>1952</v>
      </c>
      <c r="K180" s="3" t="s">
        <v>1953</v>
      </c>
      <c r="L180" s="3" t="s">
        <v>1954</v>
      </c>
      <c r="M180" s="3" t="s">
        <v>1955</v>
      </c>
      <c r="N180" s="3" t="s">
        <v>1956</v>
      </c>
      <c r="O180" s="3" t="s">
        <v>1957</v>
      </c>
      <c r="P180" s="3" t="s">
        <v>51</v>
      </c>
      <c r="Q180" s="3" t="s">
        <v>52</v>
      </c>
      <c r="R180" s="3" t="s">
        <v>53</v>
      </c>
      <c r="S180" s="3" t="s">
        <v>1018</v>
      </c>
      <c r="T180" s="3" t="s">
        <v>1958</v>
      </c>
      <c r="U180" s="3" t="s">
        <v>1959</v>
      </c>
      <c r="V180" s="3" t="s">
        <v>1960</v>
      </c>
      <c r="W180" s="3" t="s">
        <v>58</v>
      </c>
      <c r="X180" s="3">
        <f t="shared" si="12"/>
        <v>3</v>
      </c>
      <c r="Y180" s="3" t="s">
        <v>53</v>
      </c>
      <c r="Z180" s="3" t="s">
        <v>53</v>
      </c>
      <c r="AA180" s="3" t="s">
        <v>53</v>
      </c>
      <c r="AB180" s="3" t="str">
        <f t="shared" si="13"/>
        <v>Effective</v>
      </c>
      <c r="AC180" s="3" t="str">
        <f t="shared" si="14"/>
        <v>Low</v>
      </c>
      <c r="AD180" s="3">
        <f t="shared" si="15"/>
        <v>3</v>
      </c>
      <c r="AE180" s="3">
        <f t="shared" si="16"/>
        <v>3</v>
      </c>
      <c r="AF180" s="3" t="s">
        <v>59</v>
      </c>
      <c r="AG180" s="3"/>
      <c r="AH180" s="3"/>
      <c r="AI180" s="3"/>
      <c r="AJ180" s="3"/>
      <c r="AK180" s="3"/>
      <c r="AL180" s="3" t="s">
        <v>60</v>
      </c>
      <c r="AM180" s="3" t="str">
        <f t="shared" si="17"/>
        <v>Must Have</v>
      </c>
    </row>
    <row r="181" spans="1:39" ht="108" customHeight="1" x14ac:dyDescent="0.35">
      <c r="A181" s="4">
        <v>180</v>
      </c>
      <c r="B181" s="3" t="s">
        <v>39</v>
      </c>
      <c r="C181" s="3" t="s">
        <v>1938</v>
      </c>
      <c r="D181" s="3" t="s">
        <v>1870</v>
      </c>
      <c r="E181" s="3" t="s">
        <v>1939</v>
      </c>
      <c r="F181" s="3" t="s">
        <v>42</v>
      </c>
      <c r="G181" s="3" t="s">
        <v>1872</v>
      </c>
      <c r="H181" s="3" t="s">
        <v>1940</v>
      </c>
      <c r="I181" s="4" t="s">
        <v>1961</v>
      </c>
      <c r="J181" s="3" t="s">
        <v>1962</v>
      </c>
      <c r="K181" s="3" t="s">
        <v>1963</v>
      </c>
      <c r="L181" s="3" t="s">
        <v>1964</v>
      </c>
      <c r="M181" s="3" t="s">
        <v>1965</v>
      </c>
      <c r="N181" s="3" t="s">
        <v>1966</v>
      </c>
      <c r="O181" s="3" t="s">
        <v>1967</v>
      </c>
      <c r="P181" s="3" t="s">
        <v>51</v>
      </c>
      <c r="Q181" s="3" t="s">
        <v>52</v>
      </c>
      <c r="R181" s="3" t="s">
        <v>53</v>
      </c>
      <c r="S181" s="3" t="s">
        <v>1018</v>
      </c>
      <c r="T181" s="3" t="s">
        <v>1958</v>
      </c>
      <c r="U181" s="3" t="s">
        <v>1968</v>
      </c>
      <c r="V181" s="3" t="s">
        <v>1960</v>
      </c>
      <c r="W181" s="3" t="s">
        <v>58</v>
      </c>
      <c r="X181" s="3">
        <f t="shared" si="12"/>
        <v>3</v>
      </c>
      <c r="Y181" s="3" t="s">
        <v>53</v>
      </c>
      <c r="Z181" s="3" t="s">
        <v>53</v>
      </c>
      <c r="AA181" s="3" t="s">
        <v>53</v>
      </c>
      <c r="AB181" s="3" t="str">
        <f t="shared" si="13"/>
        <v>Effective</v>
      </c>
      <c r="AC181" s="3" t="str">
        <f t="shared" si="14"/>
        <v>Low</v>
      </c>
      <c r="AD181" s="3">
        <f t="shared" si="15"/>
        <v>3</v>
      </c>
      <c r="AE181" s="3">
        <f t="shared" si="16"/>
        <v>3</v>
      </c>
      <c r="AF181" s="3" t="s">
        <v>59</v>
      </c>
      <c r="AG181" s="3"/>
      <c r="AH181" s="3"/>
      <c r="AI181" s="3"/>
      <c r="AJ181" s="3"/>
      <c r="AK181" s="3"/>
      <c r="AL181" s="3" t="s">
        <v>60</v>
      </c>
      <c r="AM181" s="3" t="str">
        <f t="shared" si="17"/>
        <v>Must Have</v>
      </c>
    </row>
    <row r="182" spans="1:39" ht="108" customHeight="1" x14ac:dyDescent="0.35">
      <c r="A182" s="4">
        <v>181</v>
      </c>
      <c r="B182" s="3" t="s">
        <v>39</v>
      </c>
      <c r="C182" s="3" t="s">
        <v>1938</v>
      </c>
      <c r="D182" s="3" t="s">
        <v>1870</v>
      </c>
      <c r="E182" s="3" t="s">
        <v>1939</v>
      </c>
      <c r="F182" s="3" t="s">
        <v>42</v>
      </c>
      <c r="G182" s="3" t="s">
        <v>1872</v>
      </c>
      <c r="H182" s="3" t="s">
        <v>1940</v>
      </c>
      <c r="I182" s="4" t="s">
        <v>1969</v>
      </c>
      <c r="J182" s="3" t="s">
        <v>1970</v>
      </c>
      <c r="K182" s="3" t="s">
        <v>1971</v>
      </c>
      <c r="L182" s="3" t="s">
        <v>1972</v>
      </c>
      <c r="M182" s="3" t="s">
        <v>1973</v>
      </c>
      <c r="N182" s="3" t="s">
        <v>1974</v>
      </c>
      <c r="O182" s="3" t="s">
        <v>1975</v>
      </c>
      <c r="P182" s="3" t="s">
        <v>51</v>
      </c>
      <c r="Q182" s="3" t="s">
        <v>52</v>
      </c>
      <c r="R182" s="3" t="s">
        <v>53</v>
      </c>
      <c r="S182" s="3" t="s">
        <v>919</v>
      </c>
      <c r="T182" s="3" t="s">
        <v>55</v>
      </c>
      <c r="U182" s="3" t="s">
        <v>1976</v>
      </c>
      <c r="V182" s="3" t="s">
        <v>1977</v>
      </c>
      <c r="W182" s="3" t="s">
        <v>159</v>
      </c>
      <c r="X182" s="3">
        <f t="shared" si="12"/>
        <v>2</v>
      </c>
      <c r="Y182" s="3" t="s">
        <v>53</v>
      </c>
      <c r="Z182" s="3" t="s">
        <v>53</v>
      </c>
      <c r="AA182" s="3" t="s">
        <v>53</v>
      </c>
      <c r="AB182" s="3" t="str">
        <f t="shared" si="13"/>
        <v>Effective</v>
      </c>
      <c r="AC182" s="3" t="str">
        <f t="shared" si="14"/>
        <v>Low</v>
      </c>
      <c r="AD182" s="3">
        <f t="shared" si="15"/>
        <v>2</v>
      </c>
      <c r="AE182" s="3">
        <f t="shared" si="16"/>
        <v>2</v>
      </c>
      <c r="AF182" s="3" t="s">
        <v>59</v>
      </c>
      <c r="AG182" s="3"/>
      <c r="AH182" s="3"/>
      <c r="AI182" s="3"/>
      <c r="AJ182" s="3"/>
      <c r="AK182" s="3"/>
      <c r="AL182" s="3" t="s">
        <v>60</v>
      </c>
      <c r="AM182" s="3" t="str">
        <f t="shared" si="17"/>
        <v>Should Have</v>
      </c>
    </row>
    <row r="183" spans="1:39" ht="108" customHeight="1" x14ac:dyDescent="0.35">
      <c r="A183" s="4">
        <v>182</v>
      </c>
      <c r="B183" s="3" t="s">
        <v>39</v>
      </c>
      <c r="C183" s="3" t="s">
        <v>1978</v>
      </c>
      <c r="D183" s="3" t="s">
        <v>1870</v>
      </c>
      <c r="E183" s="3" t="s">
        <v>1979</v>
      </c>
      <c r="F183" s="3" t="s">
        <v>42</v>
      </c>
      <c r="G183" s="3" t="s">
        <v>1872</v>
      </c>
      <c r="H183" s="3" t="s">
        <v>1980</v>
      </c>
      <c r="I183" s="4" t="s">
        <v>1981</v>
      </c>
      <c r="J183" s="3" t="s">
        <v>1982</v>
      </c>
      <c r="K183" s="3" t="s">
        <v>1983</v>
      </c>
      <c r="L183" s="3" t="s">
        <v>1984</v>
      </c>
      <c r="M183" s="3" t="s">
        <v>1985</v>
      </c>
      <c r="N183" s="3" t="s">
        <v>1986</v>
      </c>
      <c r="O183" s="3" t="s">
        <v>1987</v>
      </c>
      <c r="P183" s="3" t="s">
        <v>51</v>
      </c>
      <c r="Q183" s="3" t="s">
        <v>52</v>
      </c>
      <c r="R183" s="3" t="s">
        <v>53</v>
      </c>
      <c r="S183" s="3" t="s">
        <v>796</v>
      </c>
      <c r="T183" s="3" t="s">
        <v>55</v>
      </c>
      <c r="U183" s="3" t="s">
        <v>1988</v>
      </c>
      <c r="V183" s="3" t="s">
        <v>1989</v>
      </c>
      <c r="W183" s="3" t="s">
        <v>159</v>
      </c>
      <c r="X183" s="3">
        <f t="shared" si="12"/>
        <v>2</v>
      </c>
      <c r="Y183" s="3" t="s">
        <v>53</v>
      </c>
      <c r="Z183" s="3" t="s">
        <v>53</v>
      </c>
      <c r="AA183" s="3" t="s">
        <v>53</v>
      </c>
      <c r="AB183" s="3" t="str">
        <f t="shared" si="13"/>
        <v>Effective</v>
      </c>
      <c r="AC183" s="3" t="str">
        <f t="shared" si="14"/>
        <v>Low</v>
      </c>
      <c r="AD183" s="3">
        <f t="shared" si="15"/>
        <v>2</v>
      </c>
      <c r="AE183" s="3">
        <f t="shared" si="16"/>
        <v>2</v>
      </c>
      <c r="AF183" s="3" t="s">
        <v>59</v>
      </c>
      <c r="AG183" s="3"/>
      <c r="AH183" s="3"/>
      <c r="AI183" s="3"/>
      <c r="AJ183" s="3"/>
      <c r="AK183" s="3"/>
      <c r="AL183" s="3" t="s">
        <v>60</v>
      </c>
      <c r="AM183" s="3" t="str">
        <f t="shared" si="17"/>
        <v>Should Have</v>
      </c>
    </row>
    <row r="184" spans="1:39" ht="108" customHeight="1" x14ac:dyDescent="0.35">
      <c r="A184" s="4">
        <v>183</v>
      </c>
      <c r="B184" s="3" t="s">
        <v>39</v>
      </c>
      <c r="C184" s="3" t="s">
        <v>1990</v>
      </c>
      <c r="D184" s="3" t="s">
        <v>1870</v>
      </c>
      <c r="E184" s="3" t="s">
        <v>1991</v>
      </c>
      <c r="F184" s="3" t="s">
        <v>42</v>
      </c>
      <c r="G184" s="3" t="s">
        <v>1872</v>
      </c>
      <c r="H184" s="3" t="s">
        <v>1992</v>
      </c>
      <c r="I184" s="4" t="s">
        <v>1993</v>
      </c>
      <c r="J184" s="3" t="s">
        <v>1994</v>
      </c>
      <c r="K184" s="3" t="s">
        <v>1995</v>
      </c>
      <c r="L184" s="3" t="s">
        <v>1996</v>
      </c>
      <c r="M184" s="3" t="s">
        <v>1997</v>
      </c>
      <c r="N184" s="3" t="s">
        <v>1998</v>
      </c>
      <c r="O184" s="3" t="s">
        <v>1999</v>
      </c>
      <c r="P184" s="3" t="s">
        <v>51</v>
      </c>
      <c r="Q184" s="3" t="s">
        <v>52</v>
      </c>
      <c r="R184" s="3" t="s">
        <v>53</v>
      </c>
      <c r="S184" s="3" t="s">
        <v>919</v>
      </c>
      <c r="T184" s="3" t="s">
        <v>2000</v>
      </c>
      <c r="U184" s="3" t="s">
        <v>2001</v>
      </c>
      <c r="V184" s="3" t="s">
        <v>2002</v>
      </c>
      <c r="W184" s="3" t="s">
        <v>58</v>
      </c>
      <c r="X184" s="3">
        <f t="shared" si="12"/>
        <v>3</v>
      </c>
      <c r="Y184" s="3" t="s">
        <v>53</v>
      </c>
      <c r="Z184" s="3" t="s">
        <v>53</v>
      </c>
      <c r="AA184" s="3" t="s">
        <v>53</v>
      </c>
      <c r="AB184" s="3" t="str">
        <f t="shared" si="13"/>
        <v>Effective</v>
      </c>
      <c r="AC184" s="3" t="str">
        <f t="shared" si="14"/>
        <v>Low</v>
      </c>
      <c r="AD184" s="3">
        <f t="shared" si="15"/>
        <v>3</v>
      </c>
      <c r="AE184" s="3">
        <f t="shared" si="16"/>
        <v>3</v>
      </c>
      <c r="AF184" s="3" t="s">
        <v>59</v>
      </c>
      <c r="AG184" s="3"/>
      <c r="AH184" s="3"/>
      <c r="AI184" s="3"/>
      <c r="AJ184" s="3"/>
      <c r="AK184" s="3"/>
      <c r="AL184" s="3" t="s">
        <v>60</v>
      </c>
      <c r="AM184" s="3" t="str">
        <f t="shared" si="17"/>
        <v>Must Have</v>
      </c>
    </row>
    <row r="185" spans="1:39" ht="108" customHeight="1" x14ac:dyDescent="0.35">
      <c r="A185" s="4">
        <v>184</v>
      </c>
      <c r="B185" s="3" t="s">
        <v>39</v>
      </c>
      <c r="C185" s="3" t="s">
        <v>2003</v>
      </c>
      <c r="D185" s="3" t="s">
        <v>1870</v>
      </c>
      <c r="E185" s="3" t="s">
        <v>2004</v>
      </c>
      <c r="F185" s="3" t="s">
        <v>42</v>
      </c>
      <c r="G185" s="3" t="s">
        <v>1872</v>
      </c>
      <c r="H185" s="3" t="s">
        <v>2005</v>
      </c>
      <c r="I185" s="4" t="s">
        <v>2006</v>
      </c>
      <c r="J185" s="3" t="s">
        <v>2007</v>
      </c>
      <c r="K185" s="3" t="s">
        <v>2008</v>
      </c>
      <c r="L185" s="3" t="s">
        <v>2009</v>
      </c>
      <c r="M185" s="3" t="s">
        <v>2010</v>
      </c>
      <c r="N185" s="3" t="s">
        <v>2011</v>
      </c>
      <c r="O185" s="3" t="s">
        <v>2012</v>
      </c>
      <c r="P185" s="3" t="s">
        <v>122</v>
      </c>
      <c r="Q185" s="3" t="s">
        <v>153</v>
      </c>
      <c r="R185" s="3" t="s">
        <v>53</v>
      </c>
      <c r="S185" s="3" t="s">
        <v>919</v>
      </c>
      <c r="T185" s="3" t="s">
        <v>2013</v>
      </c>
      <c r="U185" s="3" t="s">
        <v>2014</v>
      </c>
      <c r="V185" s="3" t="s">
        <v>2015</v>
      </c>
      <c r="W185" s="3" t="s">
        <v>159</v>
      </c>
      <c r="X185" s="3">
        <f t="shared" si="12"/>
        <v>2</v>
      </c>
      <c r="Y185" s="3" t="s">
        <v>53</v>
      </c>
      <c r="Z185" s="3" t="s">
        <v>53</v>
      </c>
      <c r="AA185" s="3" t="s">
        <v>53</v>
      </c>
      <c r="AB185" s="3" t="str">
        <f t="shared" si="13"/>
        <v>Effective</v>
      </c>
      <c r="AC185" s="3" t="str">
        <f t="shared" si="14"/>
        <v>Low</v>
      </c>
      <c r="AD185" s="3">
        <f t="shared" si="15"/>
        <v>2</v>
      </c>
      <c r="AE185" s="3">
        <f t="shared" si="16"/>
        <v>2</v>
      </c>
      <c r="AF185" s="3" t="s">
        <v>59</v>
      </c>
      <c r="AG185" s="3"/>
      <c r="AH185" s="3"/>
      <c r="AI185" s="3"/>
      <c r="AJ185" s="3"/>
      <c r="AK185" s="3"/>
      <c r="AL185" s="3" t="s">
        <v>60</v>
      </c>
      <c r="AM185" s="3" t="str">
        <f t="shared" si="17"/>
        <v>Should Have</v>
      </c>
    </row>
    <row r="186" spans="1:39" ht="108" customHeight="1" x14ac:dyDescent="0.35">
      <c r="A186" s="4">
        <v>185</v>
      </c>
      <c r="B186" s="3" t="s">
        <v>39</v>
      </c>
      <c r="C186" s="3" t="s">
        <v>2003</v>
      </c>
      <c r="D186" s="3" t="s">
        <v>1870</v>
      </c>
      <c r="E186" s="3" t="s">
        <v>2004</v>
      </c>
      <c r="F186" s="3" t="s">
        <v>42</v>
      </c>
      <c r="G186" s="3" t="s">
        <v>1872</v>
      </c>
      <c r="H186" s="3" t="s">
        <v>2005</v>
      </c>
      <c r="I186" s="4" t="s">
        <v>2016</v>
      </c>
      <c r="J186" s="3" t="s">
        <v>2017</v>
      </c>
      <c r="K186" s="3" t="s">
        <v>2018</v>
      </c>
      <c r="L186" s="3" t="s">
        <v>2019</v>
      </c>
      <c r="M186" s="3" t="s">
        <v>2020</v>
      </c>
      <c r="N186" s="3" t="s">
        <v>2021</v>
      </c>
      <c r="O186" s="3" t="s">
        <v>2022</v>
      </c>
      <c r="P186" s="3" t="s">
        <v>51</v>
      </c>
      <c r="Q186" s="3" t="s">
        <v>153</v>
      </c>
      <c r="R186" s="3" t="s">
        <v>53</v>
      </c>
      <c r="S186" s="3" t="s">
        <v>2023</v>
      </c>
      <c r="T186" s="3" t="s">
        <v>2024</v>
      </c>
      <c r="U186" s="3" t="s">
        <v>2025</v>
      </c>
      <c r="V186" s="3" t="s">
        <v>2026</v>
      </c>
      <c r="W186" s="3" t="s">
        <v>58</v>
      </c>
      <c r="X186" s="3">
        <f t="shared" si="12"/>
        <v>3</v>
      </c>
      <c r="Y186" s="3" t="s">
        <v>53</v>
      </c>
      <c r="Z186" s="3" t="s">
        <v>53</v>
      </c>
      <c r="AA186" s="3" t="s">
        <v>53</v>
      </c>
      <c r="AB186" s="3" t="str">
        <f t="shared" si="13"/>
        <v>Effective</v>
      </c>
      <c r="AC186" s="3" t="str">
        <f t="shared" si="14"/>
        <v>Low</v>
      </c>
      <c r="AD186" s="3">
        <f t="shared" si="15"/>
        <v>3</v>
      </c>
      <c r="AE186" s="3">
        <f t="shared" si="16"/>
        <v>3</v>
      </c>
      <c r="AF186" s="3" t="s">
        <v>59</v>
      </c>
      <c r="AG186" s="3"/>
      <c r="AH186" s="3"/>
      <c r="AI186" s="3"/>
      <c r="AJ186" s="3"/>
      <c r="AK186" s="3"/>
      <c r="AL186" s="3" t="s">
        <v>60</v>
      </c>
      <c r="AM186" s="3" t="str">
        <f t="shared" si="17"/>
        <v>Must Have</v>
      </c>
    </row>
    <row r="187" spans="1:39" ht="108" customHeight="1" x14ac:dyDescent="0.35">
      <c r="A187" s="4">
        <v>186</v>
      </c>
      <c r="B187" s="3" t="s">
        <v>39</v>
      </c>
      <c r="C187" s="3" t="s">
        <v>2003</v>
      </c>
      <c r="D187" s="3" t="s">
        <v>1870</v>
      </c>
      <c r="E187" s="3" t="s">
        <v>2004</v>
      </c>
      <c r="F187" s="3" t="s">
        <v>42</v>
      </c>
      <c r="G187" s="3" t="s">
        <v>1872</v>
      </c>
      <c r="H187" s="3" t="s">
        <v>2005</v>
      </c>
      <c r="I187" s="4" t="s">
        <v>2027</v>
      </c>
      <c r="J187" s="3" t="s">
        <v>2028</v>
      </c>
      <c r="K187" s="3" t="s">
        <v>2029</v>
      </c>
      <c r="L187" s="3" t="s">
        <v>2030</v>
      </c>
      <c r="M187" s="3" t="s">
        <v>2031</v>
      </c>
      <c r="N187" s="3" t="s">
        <v>2032</v>
      </c>
      <c r="O187" s="3" t="s">
        <v>2033</v>
      </c>
      <c r="P187" s="3" t="s">
        <v>51</v>
      </c>
      <c r="Q187" s="3" t="s">
        <v>153</v>
      </c>
      <c r="R187" s="3" t="s">
        <v>53</v>
      </c>
      <c r="S187" s="3" t="s">
        <v>1919</v>
      </c>
      <c r="T187" s="3" t="s">
        <v>2034</v>
      </c>
      <c r="U187" s="3" t="s">
        <v>2035</v>
      </c>
      <c r="V187" s="3" t="s">
        <v>2036</v>
      </c>
      <c r="W187" s="3" t="s">
        <v>58</v>
      </c>
      <c r="X187" s="3">
        <f t="shared" si="12"/>
        <v>3</v>
      </c>
      <c r="Y187" s="3" t="s">
        <v>53</v>
      </c>
      <c r="Z187" s="3" t="s">
        <v>53</v>
      </c>
      <c r="AA187" s="3" t="s">
        <v>53</v>
      </c>
      <c r="AB187" s="3" t="str">
        <f t="shared" si="13"/>
        <v>Effective</v>
      </c>
      <c r="AC187" s="3" t="str">
        <f t="shared" si="14"/>
        <v>Low</v>
      </c>
      <c r="AD187" s="3">
        <f t="shared" si="15"/>
        <v>3</v>
      </c>
      <c r="AE187" s="3">
        <f t="shared" si="16"/>
        <v>3</v>
      </c>
      <c r="AF187" s="3" t="s">
        <v>59</v>
      </c>
      <c r="AG187" s="3"/>
      <c r="AH187" s="3"/>
      <c r="AI187" s="3"/>
      <c r="AJ187" s="3"/>
      <c r="AK187" s="3"/>
      <c r="AL187" s="3" t="s">
        <v>60</v>
      </c>
      <c r="AM187" s="3" t="str">
        <f t="shared" si="17"/>
        <v>Must Have</v>
      </c>
    </row>
    <row r="188" spans="1:39" ht="108" customHeight="1" x14ac:dyDescent="0.35">
      <c r="A188" s="4">
        <v>187</v>
      </c>
      <c r="B188" s="3" t="s">
        <v>39</v>
      </c>
      <c r="C188" s="3" t="s">
        <v>2037</v>
      </c>
      <c r="D188" s="3" t="s">
        <v>1870</v>
      </c>
      <c r="E188" s="3" t="s">
        <v>2038</v>
      </c>
      <c r="F188" s="3" t="s">
        <v>42</v>
      </c>
      <c r="G188" s="3" t="s">
        <v>1872</v>
      </c>
      <c r="H188" s="3" t="s">
        <v>2039</v>
      </c>
      <c r="I188" s="4" t="s">
        <v>2040</v>
      </c>
      <c r="J188" s="3" t="s">
        <v>2041</v>
      </c>
      <c r="K188" s="3" t="s">
        <v>2042</v>
      </c>
      <c r="L188" s="3" t="s">
        <v>2043</v>
      </c>
      <c r="M188" s="3" t="s">
        <v>2044</v>
      </c>
      <c r="N188" s="3" t="s">
        <v>2045</v>
      </c>
      <c r="O188" s="3" t="s">
        <v>2046</v>
      </c>
      <c r="P188" s="3" t="s">
        <v>51</v>
      </c>
      <c r="Q188" s="3" t="s">
        <v>323</v>
      </c>
      <c r="R188" s="3" t="s">
        <v>53</v>
      </c>
      <c r="S188" s="3" t="s">
        <v>919</v>
      </c>
      <c r="T188" s="3" t="s">
        <v>920</v>
      </c>
      <c r="U188" s="3" t="s">
        <v>2047</v>
      </c>
      <c r="V188" s="3" t="s">
        <v>922</v>
      </c>
      <c r="W188" s="3" t="s">
        <v>159</v>
      </c>
      <c r="X188" s="3">
        <f t="shared" si="12"/>
        <v>2</v>
      </c>
      <c r="Y188" s="3" t="s">
        <v>53</v>
      </c>
      <c r="Z188" s="3" t="s">
        <v>53</v>
      </c>
      <c r="AA188" s="3" t="s">
        <v>53</v>
      </c>
      <c r="AB188" s="3" t="str">
        <f t="shared" si="13"/>
        <v>Effective</v>
      </c>
      <c r="AC188" s="3" t="str">
        <f t="shared" si="14"/>
        <v>Low</v>
      </c>
      <c r="AD188" s="3">
        <f t="shared" si="15"/>
        <v>2</v>
      </c>
      <c r="AE188" s="3">
        <f t="shared" si="16"/>
        <v>2</v>
      </c>
      <c r="AF188" s="3" t="s">
        <v>59</v>
      </c>
      <c r="AG188" s="3"/>
      <c r="AH188" s="3"/>
      <c r="AI188" s="3"/>
      <c r="AJ188" s="3"/>
      <c r="AK188" s="3"/>
      <c r="AL188" s="3" t="s">
        <v>60</v>
      </c>
      <c r="AM188" s="3" t="str">
        <f t="shared" si="17"/>
        <v>Should Have</v>
      </c>
    </row>
    <row r="189" spans="1:39" ht="108" customHeight="1" x14ac:dyDescent="0.35">
      <c r="A189" s="4">
        <v>188</v>
      </c>
      <c r="B189" s="3" t="s">
        <v>39</v>
      </c>
      <c r="C189" s="3" t="s">
        <v>2048</v>
      </c>
      <c r="D189" s="3" t="s">
        <v>365</v>
      </c>
      <c r="E189" s="3" t="s">
        <v>2049</v>
      </c>
      <c r="F189" s="3" t="s">
        <v>42</v>
      </c>
      <c r="G189" s="3" t="s">
        <v>1872</v>
      </c>
      <c r="H189" s="3" t="s">
        <v>2050</v>
      </c>
      <c r="I189" s="4" t="s">
        <v>2051</v>
      </c>
      <c r="J189" s="3" t="s">
        <v>2052</v>
      </c>
      <c r="K189" s="3" t="s">
        <v>1924</v>
      </c>
      <c r="L189" s="3" t="s">
        <v>2053</v>
      </c>
      <c r="M189" s="3" t="s">
        <v>2054</v>
      </c>
      <c r="N189" s="3" t="s">
        <v>2055</v>
      </c>
      <c r="O189" s="3" t="s">
        <v>2056</v>
      </c>
      <c r="P189" s="3" t="s">
        <v>51</v>
      </c>
      <c r="Q189" s="3" t="s">
        <v>52</v>
      </c>
      <c r="R189" s="3" t="s">
        <v>53</v>
      </c>
      <c r="S189" s="3" t="s">
        <v>1881</v>
      </c>
      <c r="T189" s="3" t="s">
        <v>55</v>
      </c>
      <c r="U189" s="3" t="s">
        <v>2057</v>
      </c>
      <c r="V189" s="3" t="s">
        <v>1883</v>
      </c>
      <c r="W189" s="3" t="s">
        <v>58</v>
      </c>
      <c r="X189" s="3">
        <f t="shared" si="12"/>
        <v>3</v>
      </c>
      <c r="Y189" s="3" t="s">
        <v>53</v>
      </c>
      <c r="Z189" s="3" t="s">
        <v>53</v>
      </c>
      <c r="AA189" s="3" t="s">
        <v>53</v>
      </c>
      <c r="AB189" s="3" t="str">
        <f t="shared" si="13"/>
        <v>Effective</v>
      </c>
      <c r="AC189" s="3" t="str">
        <f t="shared" si="14"/>
        <v>Low</v>
      </c>
      <c r="AD189" s="3">
        <f t="shared" si="15"/>
        <v>3</v>
      </c>
      <c r="AE189" s="3">
        <f t="shared" si="16"/>
        <v>3</v>
      </c>
      <c r="AF189" s="3" t="s">
        <v>59</v>
      </c>
      <c r="AG189" s="3"/>
      <c r="AH189" s="3"/>
      <c r="AI189" s="3"/>
      <c r="AJ189" s="3"/>
      <c r="AK189" s="3"/>
      <c r="AL189" s="3" t="s">
        <v>60</v>
      </c>
      <c r="AM189" s="3" t="str">
        <f t="shared" si="17"/>
        <v>Must Have</v>
      </c>
    </row>
    <row r="190" spans="1:39" ht="108" customHeight="1" x14ac:dyDescent="0.35">
      <c r="A190" s="4">
        <v>189</v>
      </c>
      <c r="B190" s="3" t="s">
        <v>39</v>
      </c>
      <c r="C190" s="3" t="s">
        <v>2048</v>
      </c>
      <c r="D190" s="3" t="s">
        <v>365</v>
      </c>
      <c r="E190" s="3" t="s">
        <v>2049</v>
      </c>
      <c r="F190" s="3" t="s">
        <v>42</v>
      </c>
      <c r="G190" s="3" t="s">
        <v>1872</v>
      </c>
      <c r="H190" s="3" t="s">
        <v>2050</v>
      </c>
      <c r="I190" s="4" t="s">
        <v>2058</v>
      </c>
      <c r="J190" s="3" t="s">
        <v>2059</v>
      </c>
      <c r="K190" s="3" t="s">
        <v>2060</v>
      </c>
      <c r="L190" s="3" t="s">
        <v>2061</v>
      </c>
      <c r="M190" s="3" t="s">
        <v>2062</v>
      </c>
      <c r="N190" s="3" t="s">
        <v>2063</v>
      </c>
      <c r="O190" s="3" t="s">
        <v>2064</v>
      </c>
      <c r="P190" s="3" t="s">
        <v>51</v>
      </c>
      <c r="Q190" s="3" t="s">
        <v>52</v>
      </c>
      <c r="R190" s="3" t="s">
        <v>53</v>
      </c>
      <c r="S190" s="3" t="s">
        <v>796</v>
      </c>
      <c r="T190" s="3" t="s">
        <v>55</v>
      </c>
      <c r="U190" s="3" t="s">
        <v>2065</v>
      </c>
      <c r="V190" s="3" t="s">
        <v>1989</v>
      </c>
      <c r="W190" s="3" t="s">
        <v>58</v>
      </c>
      <c r="X190" s="3">
        <f t="shared" si="12"/>
        <v>3</v>
      </c>
      <c r="Y190" s="3" t="s">
        <v>53</v>
      </c>
      <c r="Z190" s="3" t="s">
        <v>53</v>
      </c>
      <c r="AA190" s="3" t="s">
        <v>53</v>
      </c>
      <c r="AB190" s="3" t="str">
        <f t="shared" si="13"/>
        <v>Effective</v>
      </c>
      <c r="AC190" s="3" t="str">
        <f t="shared" si="14"/>
        <v>Low</v>
      </c>
      <c r="AD190" s="3">
        <f t="shared" si="15"/>
        <v>3</v>
      </c>
      <c r="AE190" s="3">
        <f t="shared" si="16"/>
        <v>3</v>
      </c>
      <c r="AF190" s="3" t="s">
        <v>59</v>
      </c>
      <c r="AG190" s="3"/>
      <c r="AH190" s="3"/>
      <c r="AI190" s="3"/>
      <c r="AJ190" s="3"/>
      <c r="AK190" s="3"/>
      <c r="AL190" s="3" t="s">
        <v>60</v>
      </c>
      <c r="AM190" s="3" t="str">
        <f t="shared" si="17"/>
        <v>Must Have</v>
      </c>
    </row>
    <row r="191" spans="1:39" ht="108" customHeight="1" x14ac:dyDescent="0.35">
      <c r="A191" s="4">
        <v>190</v>
      </c>
      <c r="B191" s="3" t="s">
        <v>39</v>
      </c>
      <c r="C191" s="3" t="s">
        <v>2048</v>
      </c>
      <c r="D191" s="3" t="s">
        <v>365</v>
      </c>
      <c r="E191" s="3" t="s">
        <v>2049</v>
      </c>
      <c r="F191" s="3" t="s">
        <v>42</v>
      </c>
      <c r="G191" s="3" t="s">
        <v>1872</v>
      </c>
      <c r="H191" s="3" t="s">
        <v>2050</v>
      </c>
      <c r="I191" s="4" t="s">
        <v>2066</v>
      </c>
      <c r="J191" s="3" t="s">
        <v>2067</v>
      </c>
      <c r="K191" s="3" t="s">
        <v>2068</v>
      </c>
      <c r="L191" s="3" t="s">
        <v>2069</v>
      </c>
      <c r="M191" s="3" t="s">
        <v>2070</v>
      </c>
      <c r="N191" s="3" t="s">
        <v>2071</v>
      </c>
      <c r="O191" s="3" t="s">
        <v>2072</v>
      </c>
      <c r="P191" s="3" t="s">
        <v>51</v>
      </c>
      <c r="Q191" s="3" t="s">
        <v>52</v>
      </c>
      <c r="R191" s="3" t="s">
        <v>53</v>
      </c>
      <c r="S191" s="3" t="s">
        <v>919</v>
      </c>
      <c r="T191" s="3" t="s">
        <v>55</v>
      </c>
      <c r="U191" s="3" t="s">
        <v>2073</v>
      </c>
      <c r="V191" s="3" t="s">
        <v>1977</v>
      </c>
      <c r="W191" s="3" t="s">
        <v>159</v>
      </c>
      <c r="X191" s="3">
        <f t="shared" si="12"/>
        <v>2</v>
      </c>
      <c r="Y191" s="3" t="s">
        <v>53</v>
      </c>
      <c r="Z191" s="3" t="s">
        <v>53</v>
      </c>
      <c r="AA191" s="3" t="s">
        <v>53</v>
      </c>
      <c r="AB191" s="3" t="str">
        <f t="shared" si="13"/>
        <v>Effective</v>
      </c>
      <c r="AC191" s="3" t="str">
        <f t="shared" si="14"/>
        <v>Low</v>
      </c>
      <c r="AD191" s="3">
        <f t="shared" si="15"/>
        <v>2</v>
      </c>
      <c r="AE191" s="3">
        <f t="shared" si="16"/>
        <v>2</v>
      </c>
      <c r="AF191" s="3" t="s">
        <v>59</v>
      </c>
      <c r="AG191" s="3"/>
      <c r="AH191" s="3"/>
      <c r="AI191" s="3"/>
      <c r="AJ191" s="3"/>
      <c r="AK191" s="3"/>
      <c r="AL191" s="3" t="s">
        <v>60</v>
      </c>
      <c r="AM191" s="3" t="str">
        <f t="shared" si="17"/>
        <v>Should Have</v>
      </c>
    </row>
    <row r="192" spans="1:39" ht="108" customHeight="1" x14ac:dyDescent="0.35">
      <c r="A192" s="4">
        <v>191</v>
      </c>
      <c r="B192" s="3" t="s">
        <v>39</v>
      </c>
      <c r="C192" s="3" t="s">
        <v>2048</v>
      </c>
      <c r="D192" s="3" t="s">
        <v>365</v>
      </c>
      <c r="E192" s="3" t="s">
        <v>2049</v>
      </c>
      <c r="F192" s="3" t="s">
        <v>42</v>
      </c>
      <c r="G192" s="3" t="s">
        <v>1872</v>
      </c>
      <c r="H192" s="3" t="s">
        <v>2050</v>
      </c>
      <c r="I192" s="4" t="s">
        <v>2074</v>
      </c>
      <c r="J192" s="3" t="s">
        <v>2075</v>
      </c>
      <c r="K192" s="3" t="s">
        <v>2076</v>
      </c>
      <c r="L192" s="3" t="s">
        <v>2077</v>
      </c>
      <c r="M192" s="3" t="s">
        <v>2078</v>
      </c>
      <c r="N192" s="3" t="s">
        <v>2079</v>
      </c>
      <c r="O192" s="3" t="s">
        <v>2080</v>
      </c>
      <c r="P192" s="3" t="s">
        <v>122</v>
      </c>
      <c r="Q192" s="3" t="s">
        <v>153</v>
      </c>
      <c r="R192" s="3" t="s">
        <v>53</v>
      </c>
      <c r="S192" s="3" t="s">
        <v>2081</v>
      </c>
      <c r="T192" s="3" t="s">
        <v>920</v>
      </c>
      <c r="U192" s="3" t="s">
        <v>2082</v>
      </c>
      <c r="V192" s="3" t="s">
        <v>2083</v>
      </c>
      <c r="W192" s="3" t="s">
        <v>58</v>
      </c>
      <c r="X192" s="3">
        <f t="shared" si="12"/>
        <v>3</v>
      </c>
      <c r="Y192" s="3" t="s">
        <v>53</v>
      </c>
      <c r="Z192" s="3" t="s">
        <v>53</v>
      </c>
      <c r="AA192" s="3" t="s">
        <v>53</v>
      </c>
      <c r="AB192" s="3" t="str">
        <f t="shared" si="13"/>
        <v>Effective</v>
      </c>
      <c r="AC192" s="3" t="str">
        <f t="shared" si="14"/>
        <v>Low</v>
      </c>
      <c r="AD192" s="3">
        <f t="shared" si="15"/>
        <v>3</v>
      </c>
      <c r="AE192" s="3">
        <f t="shared" si="16"/>
        <v>3</v>
      </c>
      <c r="AF192" s="3" t="s">
        <v>59</v>
      </c>
      <c r="AG192" s="3"/>
      <c r="AH192" s="3"/>
      <c r="AI192" s="3"/>
      <c r="AJ192" s="3"/>
      <c r="AK192" s="3"/>
      <c r="AL192" s="3" t="s">
        <v>60</v>
      </c>
      <c r="AM192" s="3" t="str">
        <f t="shared" si="17"/>
        <v>Must Have</v>
      </c>
    </row>
    <row r="193" spans="1:39" ht="108" customHeight="1" x14ac:dyDescent="0.35">
      <c r="A193" s="4">
        <v>192</v>
      </c>
      <c r="B193" s="3" t="s">
        <v>39</v>
      </c>
      <c r="C193" s="3" t="s">
        <v>2048</v>
      </c>
      <c r="D193" s="3" t="s">
        <v>365</v>
      </c>
      <c r="E193" s="3" t="s">
        <v>2049</v>
      </c>
      <c r="F193" s="3" t="s">
        <v>42</v>
      </c>
      <c r="G193" s="3" t="s">
        <v>1872</v>
      </c>
      <c r="H193" s="3" t="s">
        <v>2050</v>
      </c>
      <c r="I193" s="4" t="s">
        <v>2084</v>
      </c>
      <c r="J193" s="3" t="s">
        <v>2085</v>
      </c>
      <c r="K193" s="3" t="s">
        <v>2086</v>
      </c>
      <c r="L193" s="3" t="s">
        <v>2087</v>
      </c>
      <c r="M193" s="3" t="s">
        <v>2088</v>
      </c>
      <c r="N193" s="3" t="s">
        <v>2089</v>
      </c>
      <c r="O193" s="3" t="s">
        <v>2090</v>
      </c>
      <c r="P193" s="3" t="s">
        <v>122</v>
      </c>
      <c r="Q193" s="3" t="s">
        <v>52</v>
      </c>
      <c r="R193" s="3" t="s">
        <v>53</v>
      </c>
      <c r="S193" s="3" t="s">
        <v>2091</v>
      </c>
      <c r="T193" s="3" t="s">
        <v>2092</v>
      </c>
      <c r="U193" s="3" t="s">
        <v>2093</v>
      </c>
      <c r="V193" s="3" t="s">
        <v>2094</v>
      </c>
      <c r="W193" s="3" t="s">
        <v>58</v>
      </c>
      <c r="X193" s="3">
        <f t="shared" si="12"/>
        <v>3</v>
      </c>
      <c r="Y193" s="3" t="s">
        <v>53</v>
      </c>
      <c r="Z193" s="3" t="s">
        <v>53</v>
      </c>
      <c r="AA193" s="3" t="s">
        <v>53</v>
      </c>
      <c r="AB193" s="3" t="str">
        <f t="shared" si="13"/>
        <v>Effective</v>
      </c>
      <c r="AC193" s="3" t="str">
        <f t="shared" si="14"/>
        <v>Low</v>
      </c>
      <c r="AD193" s="3">
        <f t="shared" si="15"/>
        <v>3</v>
      </c>
      <c r="AE193" s="3">
        <f t="shared" si="16"/>
        <v>3</v>
      </c>
      <c r="AF193" s="3" t="s">
        <v>59</v>
      </c>
      <c r="AG193" s="3"/>
      <c r="AH193" s="3"/>
      <c r="AI193" s="3"/>
      <c r="AJ193" s="3"/>
      <c r="AK193" s="3"/>
      <c r="AL193" s="3" t="s">
        <v>60</v>
      </c>
      <c r="AM193" s="3" t="str">
        <f t="shared" si="17"/>
        <v>Must Have</v>
      </c>
    </row>
    <row r="194" spans="1:39" ht="108" customHeight="1" x14ac:dyDescent="0.35">
      <c r="A194" s="4">
        <v>193</v>
      </c>
      <c r="B194" s="3" t="s">
        <v>39</v>
      </c>
      <c r="C194" s="3" t="s">
        <v>2048</v>
      </c>
      <c r="D194" s="3" t="s">
        <v>365</v>
      </c>
      <c r="E194" s="3" t="s">
        <v>2049</v>
      </c>
      <c r="F194" s="3" t="s">
        <v>42</v>
      </c>
      <c r="G194" s="3" t="s">
        <v>1872</v>
      </c>
      <c r="H194" s="3" t="s">
        <v>2050</v>
      </c>
      <c r="I194" s="4" t="s">
        <v>2095</v>
      </c>
      <c r="J194" s="3" t="s">
        <v>2096</v>
      </c>
      <c r="K194" s="3" t="s">
        <v>2097</v>
      </c>
      <c r="L194" s="3" t="s">
        <v>2098</v>
      </c>
      <c r="M194" s="3" t="s">
        <v>2099</v>
      </c>
      <c r="N194" s="3" t="s">
        <v>2100</v>
      </c>
      <c r="O194" s="3" t="s">
        <v>2101</v>
      </c>
      <c r="P194" s="3" t="s">
        <v>122</v>
      </c>
      <c r="Q194" s="3" t="s">
        <v>52</v>
      </c>
      <c r="R194" s="3" t="s">
        <v>53</v>
      </c>
      <c r="S194" s="3" t="s">
        <v>2102</v>
      </c>
      <c r="T194" s="3" t="s">
        <v>2103</v>
      </c>
      <c r="U194" s="3" t="s">
        <v>2104</v>
      </c>
      <c r="V194" s="3" t="s">
        <v>2105</v>
      </c>
      <c r="W194" s="3" t="s">
        <v>58</v>
      </c>
      <c r="X194" s="3">
        <f t="shared" ref="X194:X257" si="18">IF(W194="","",IF(W194="Critical",4,IF(W194="High",3,IF(W194="Medium",2,IF(W194="Low",1,"")))))</f>
        <v>3</v>
      </c>
      <c r="Y194" s="3" t="s">
        <v>53</v>
      </c>
      <c r="Z194" s="3" t="s">
        <v>53</v>
      </c>
      <c r="AA194" s="3" t="s">
        <v>53</v>
      </c>
      <c r="AB194" s="3" t="str">
        <f t="shared" ref="AB194:AB257" si="19">IF(OR(Y194="",Z194=""),"",IF(AND(Y194="Y",Z194="Y"),"Effective",IF(AND(Y194="N",Z194="N"),"Ineffective","Partially Effective")))</f>
        <v>Effective</v>
      </c>
      <c r="AC194" s="3" t="str">
        <f t="shared" ref="AC194:AC257" si="20">IF(OR(W194="",AB194=""),"",IF(AB194="Effective",IF(W194="Critical","Medium","Low"),IF(AB194="Partially Effective",IF(W194="Critical","High",IF(W194="High","Medium",W194)),W194)))</f>
        <v>Low</v>
      </c>
      <c r="AD194" s="3">
        <f t="shared" ref="AD194:AD257" si="21">IF(OR(AA194="",AA194="NA",X194=""),"",IF(AA194="Y",X194,IF(AA194="P",X194*0.5,IF(AA194="N",0,""))))</f>
        <v>3</v>
      </c>
      <c r="AE194" s="3">
        <f t="shared" ref="AE194:AE257" si="22">IF(OR(AA194="",AA194="NA",X194=""),"",X194)</f>
        <v>3</v>
      </c>
      <c r="AF194" s="3" t="s">
        <v>59</v>
      </c>
      <c r="AG194" s="3"/>
      <c r="AH194" s="3"/>
      <c r="AI194" s="3"/>
      <c r="AJ194" s="3"/>
      <c r="AK194" s="3"/>
      <c r="AL194" s="3" t="s">
        <v>60</v>
      </c>
      <c r="AM194" s="3" t="str">
        <f t="shared" ref="AM194:AM257" si="23">IF(OR(W194="",R194=""),"",IF(AND(R194="Y",OR(W194="Critical",W194="High")),"Must Have","Should Have"))</f>
        <v>Must Have</v>
      </c>
    </row>
    <row r="195" spans="1:39" ht="108" customHeight="1" x14ac:dyDescent="0.35">
      <c r="A195" s="4">
        <v>194</v>
      </c>
      <c r="B195" s="3" t="s">
        <v>39</v>
      </c>
      <c r="C195" s="3" t="s">
        <v>2048</v>
      </c>
      <c r="D195" s="3" t="s">
        <v>365</v>
      </c>
      <c r="E195" s="3" t="s">
        <v>2049</v>
      </c>
      <c r="F195" s="3" t="s">
        <v>114</v>
      </c>
      <c r="G195" s="3" t="s">
        <v>1872</v>
      </c>
      <c r="H195" s="3" t="s">
        <v>2050</v>
      </c>
      <c r="I195" s="4" t="s">
        <v>2106</v>
      </c>
      <c r="J195" s="3" t="s">
        <v>2107</v>
      </c>
      <c r="K195" s="3" t="s">
        <v>2108</v>
      </c>
      <c r="L195" s="3" t="s">
        <v>2109</v>
      </c>
      <c r="M195" s="3" t="s">
        <v>2110</v>
      </c>
      <c r="N195" s="3" t="s">
        <v>2111</v>
      </c>
      <c r="O195" s="3" t="s">
        <v>2112</v>
      </c>
      <c r="P195" s="3" t="s">
        <v>51</v>
      </c>
      <c r="Q195" s="3" t="s">
        <v>52</v>
      </c>
      <c r="R195" s="3" t="s">
        <v>53</v>
      </c>
      <c r="S195" s="3" t="s">
        <v>1213</v>
      </c>
      <c r="T195" s="3" t="s">
        <v>55</v>
      </c>
      <c r="U195" s="3" t="s">
        <v>2113</v>
      </c>
      <c r="V195" s="3" t="s">
        <v>2114</v>
      </c>
      <c r="W195" s="3" t="s">
        <v>58</v>
      </c>
      <c r="X195" s="3">
        <f t="shared" si="18"/>
        <v>3</v>
      </c>
      <c r="Y195" s="3" t="s">
        <v>53</v>
      </c>
      <c r="Z195" s="3" t="s">
        <v>53</v>
      </c>
      <c r="AA195" s="3" t="s">
        <v>53</v>
      </c>
      <c r="AB195" s="3" t="str">
        <f t="shared" si="19"/>
        <v>Effective</v>
      </c>
      <c r="AC195" s="3" t="str">
        <f t="shared" si="20"/>
        <v>Low</v>
      </c>
      <c r="AD195" s="3">
        <f t="shared" si="21"/>
        <v>3</v>
      </c>
      <c r="AE195" s="3">
        <f t="shared" si="22"/>
        <v>3</v>
      </c>
      <c r="AF195" s="3" t="s">
        <v>59</v>
      </c>
      <c r="AG195" s="3"/>
      <c r="AH195" s="3"/>
      <c r="AI195" s="3"/>
      <c r="AJ195" s="3"/>
      <c r="AK195" s="3"/>
      <c r="AL195" s="3" t="s">
        <v>60</v>
      </c>
      <c r="AM195" s="3" t="str">
        <f t="shared" si="23"/>
        <v>Must Have</v>
      </c>
    </row>
    <row r="196" spans="1:39" ht="108" customHeight="1" x14ac:dyDescent="0.35">
      <c r="A196" s="4">
        <v>195</v>
      </c>
      <c r="B196" s="3" t="s">
        <v>39</v>
      </c>
      <c r="C196" s="3" t="s">
        <v>2048</v>
      </c>
      <c r="D196" s="3" t="s">
        <v>365</v>
      </c>
      <c r="E196" s="3" t="s">
        <v>2049</v>
      </c>
      <c r="F196" s="3" t="s">
        <v>42</v>
      </c>
      <c r="G196" s="3" t="s">
        <v>1872</v>
      </c>
      <c r="H196" s="3" t="s">
        <v>2050</v>
      </c>
      <c r="I196" s="4" t="s">
        <v>2115</v>
      </c>
      <c r="J196" s="3" t="s">
        <v>2116</v>
      </c>
      <c r="K196" s="3" t="s">
        <v>2117</v>
      </c>
      <c r="L196" s="3" t="s">
        <v>2118</v>
      </c>
      <c r="M196" s="3" t="s">
        <v>2119</v>
      </c>
      <c r="N196" s="3" t="s">
        <v>2120</v>
      </c>
      <c r="O196" s="3" t="s">
        <v>2121</v>
      </c>
      <c r="P196" s="3" t="s">
        <v>122</v>
      </c>
      <c r="Q196" s="3" t="s">
        <v>323</v>
      </c>
      <c r="R196" s="3" t="s">
        <v>53</v>
      </c>
      <c r="S196" s="3" t="s">
        <v>2081</v>
      </c>
      <c r="T196" s="3" t="s">
        <v>920</v>
      </c>
      <c r="U196" s="3" t="s">
        <v>2122</v>
      </c>
      <c r="V196" s="3" t="s">
        <v>2083</v>
      </c>
      <c r="W196" s="3" t="s">
        <v>58</v>
      </c>
      <c r="X196" s="3">
        <f t="shared" si="18"/>
        <v>3</v>
      </c>
      <c r="Y196" s="3" t="s">
        <v>53</v>
      </c>
      <c r="Z196" s="3" t="s">
        <v>53</v>
      </c>
      <c r="AA196" s="3" t="s">
        <v>53</v>
      </c>
      <c r="AB196" s="3" t="str">
        <f t="shared" si="19"/>
        <v>Effective</v>
      </c>
      <c r="AC196" s="3" t="str">
        <f t="shared" si="20"/>
        <v>Low</v>
      </c>
      <c r="AD196" s="3">
        <f t="shared" si="21"/>
        <v>3</v>
      </c>
      <c r="AE196" s="3">
        <f t="shared" si="22"/>
        <v>3</v>
      </c>
      <c r="AF196" s="3" t="s">
        <v>59</v>
      </c>
      <c r="AG196" s="3"/>
      <c r="AH196" s="3"/>
      <c r="AI196" s="3"/>
      <c r="AJ196" s="3"/>
      <c r="AK196" s="3"/>
      <c r="AL196" s="3" t="s">
        <v>60</v>
      </c>
      <c r="AM196" s="3" t="str">
        <f t="shared" si="23"/>
        <v>Must Have</v>
      </c>
    </row>
    <row r="197" spans="1:39" ht="108" customHeight="1" x14ac:dyDescent="0.35">
      <c r="A197" s="4">
        <v>196</v>
      </c>
      <c r="B197" s="3" t="s">
        <v>39</v>
      </c>
      <c r="C197" s="3" t="s">
        <v>2048</v>
      </c>
      <c r="D197" s="3" t="s">
        <v>365</v>
      </c>
      <c r="E197" s="3" t="s">
        <v>2049</v>
      </c>
      <c r="F197" s="3" t="s">
        <v>42</v>
      </c>
      <c r="G197" s="3" t="s">
        <v>1872</v>
      </c>
      <c r="H197" s="3" t="s">
        <v>2050</v>
      </c>
      <c r="I197" s="4" t="s">
        <v>2123</v>
      </c>
      <c r="J197" s="3" t="s">
        <v>2124</v>
      </c>
      <c r="K197" s="3" t="s">
        <v>2125</v>
      </c>
      <c r="L197" s="3" t="s">
        <v>2126</v>
      </c>
      <c r="M197" s="3" t="s">
        <v>2127</v>
      </c>
      <c r="N197" s="3" t="s">
        <v>2128</v>
      </c>
      <c r="O197" s="3" t="s">
        <v>2129</v>
      </c>
      <c r="P197" s="3" t="s">
        <v>51</v>
      </c>
      <c r="Q197" s="3" t="s">
        <v>323</v>
      </c>
      <c r="R197" s="3" t="s">
        <v>53</v>
      </c>
      <c r="S197" s="3" t="s">
        <v>2130</v>
      </c>
      <c r="T197" s="3" t="s">
        <v>2131</v>
      </c>
      <c r="U197" s="3" t="s">
        <v>2132</v>
      </c>
      <c r="V197" s="3" t="s">
        <v>2133</v>
      </c>
      <c r="W197" s="3" t="s">
        <v>58</v>
      </c>
      <c r="X197" s="3">
        <f t="shared" si="18"/>
        <v>3</v>
      </c>
      <c r="Y197" s="3" t="s">
        <v>53</v>
      </c>
      <c r="Z197" s="3" t="s">
        <v>53</v>
      </c>
      <c r="AA197" s="3" t="s">
        <v>53</v>
      </c>
      <c r="AB197" s="3" t="str">
        <f t="shared" si="19"/>
        <v>Effective</v>
      </c>
      <c r="AC197" s="3" t="str">
        <f t="shared" si="20"/>
        <v>Low</v>
      </c>
      <c r="AD197" s="3">
        <f t="shared" si="21"/>
        <v>3</v>
      </c>
      <c r="AE197" s="3">
        <f t="shared" si="22"/>
        <v>3</v>
      </c>
      <c r="AF197" s="3" t="s">
        <v>59</v>
      </c>
      <c r="AG197" s="3"/>
      <c r="AH197" s="3"/>
      <c r="AI197" s="3"/>
      <c r="AJ197" s="3"/>
      <c r="AK197" s="3"/>
      <c r="AL197" s="3" t="s">
        <v>60</v>
      </c>
      <c r="AM197" s="3" t="str">
        <f t="shared" si="23"/>
        <v>Must Have</v>
      </c>
    </row>
    <row r="198" spans="1:39" ht="108" customHeight="1" x14ac:dyDescent="0.35">
      <c r="A198" s="4">
        <v>197</v>
      </c>
      <c r="B198" s="3" t="s">
        <v>39</v>
      </c>
      <c r="C198" s="3" t="s">
        <v>2048</v>
      </c>
      <c r="D198" s="3" t="s">
        <v>365</v>
      </c>
      <c r="E198" s="3" t="s">
        <v>2049</v>
      </c>
      <c r="F198" s="3" t="s">
        <v>527</v>
      </c>
      <c r="G198" s="3" t="s">
        <v>1872</v>
      </c>
      <c r="H198" s="3" t="s">
        <v>2050</v>
      </c>
      <c r="I198" s="4" t="s">
        <v>2134</v>
      </c>
      <c r="J198" s="3" t="s">
        <v>2135</v>
      </c>
      <c r="K198" s="3" t="s">
        <v>2136</v>
      </c>
      <c r="L198" s="3" t="s">
        <v>2137</v>
      </c>
      <c r="M198" s="3" t="s">
        <v>2138</v>
      </c>
      <c r="N198" s="3" t="s">
        <v>2139</v>
      </c>
      <c r="O198" s="3" t="s">
        <v>2140</v>
      </c>
      <c r="P198" s="3" t="s">
        <v>51</v>
      </c>
      <c r="Q198" s="3" t="s">
        <v>52</v>
      </c>
      <c r="R198" s="3" t="s">
        <v>53</v>
      </c>
      <c r="S198" s="3" t="s">
        <v>2141</v>
      </c>
      <c r="T198" s="3" t="s">
        <v>55</v>
      </c>
      <c r="U198" s="3" t="s">
        <v>2142</v>
      </c>
      <c r="V198" s="3" t="s">
        <v>2143</v>
      </c>
      <c r="W198" s="3" t="s">
        <v>58</v>
      </c>
      <c r="X198" s="3">
        <f t="shared" si="18"/>
        <v>3</v>
      </c>
      <c r="Y198" s="3" t="s">
        <v>53</v>
      </c>
      <c r="Z198" s="3" t="s">
        <v>53</v>
      </c>
      <c r="AA198" s="3" t="s">
        <v>53</v>
      </c>
      <c r="AB198" s="3" t="str">
        <f t="shared" si="19"/>
        <v>Effective</v>
      </c>
      <c r="AC198" s="3" t="str">
        <f t="shared" si="20"/>
        <v>Low</v>
      </c>
      <c r="AD198" s="3">
        <f t="shared" si="21"/>
        <v>3</v>
      </c>
      <c r="AE198" s="3">
        <f t="shared" si="22"/>
        <v>3</v>
      </c>
      <c r="AF198" s="3" t="s">
        <v>59</v>
      </c>
      <c r="AG198" s="3"/>
      <c r="AH198" s="3"/>
      <c r="AI198" s="3"/>
      <c r="AJ198" s="3"/>
      <c r="AK198" s="3"/>
      <c r="AL198" s="3" t="s">
        <v>60</v>
      </c>
      <c r="AM198" s="3" t="str">
        <f t="shared" si="23"/>
        <v>Must Have</v>
      </c>
    </row>
    <row r="199" spans="1:39" ht="108" customHeight="1" x14ac:dyDescent="0.35">
      <c r="A199" s="4">
        <v>198</v>
      </c>
      <c r="B199" s="3" t="s">
        <v>39</v>
      </c>
      <c r="C199" s="3" t="s">
        <v>2144</v>
      </c>
      <c r="D199" s="3" t="s">
        <v>365</v>
      </c>
      <c r="E199" s="3" t="s">
        <v>2145</v>
      </c>
      <c r="F199" s="3" t="s">
        <v>42</v>
      </c>
      <c r="G199" s="3" t="s">
        <v>1872</v>
      </c>
      <c r="H199" s="3" t="s">
        <v>2146</v>
      </c>
      <c r="I199" s="4" t="s">
        <v>2147</v>
      </c>
      <c r="J199" s="3" t="s">
        <v>2148</v>
      </c>
      <c r="K199" s="3" t="s">
        <v>2149</v>
      </c>
      <c r="L199" s="3" t="s">
        <v>2150</v>
      </c>
      <c r="M199" s="3" t="s">
        <v>2151</v>
      </c>
      <c r="N199" s="3" t="s">
        <v>2152</v>
      </c>
      <c r="O199" s="3" t="s">
        <v>2153</v>
      </c>
      <c r="P199" s="3" t="s">
        <v>51</v>
      </c>
      <c r="Q199" s="3" t="s">
        <v>52</v>
      </c>
      <c r="R199" s="3" t="s">
        <v>53</v>
      </c>
      <c r="S199" s="3" t="s">
        <v>2154</v>
      </c>
      <c r="T199" s="3" t="s">
        <v>2155</v>
      </c>
      <c r="U199" s="3" t="s">
        <v>2156</v>
      </c>
      <c r="V199" s="3" t="s">
        <v>2157</v>
      </c>
      <c r="W199" s="3" t="s">
        <v>58</v>
      </c>
      <c r="X199" s="3">
        <f t="shared" si="18"/>
        <v>3</v>
      </c>
      <c r="Y199" s="3" t="s">
        <v>53</v>
      </c>
      <c r="Z199" s="3" t="s">
        <v>53</v>
      </c>
      <c r="AA199" s="3" t="s">
        <v>53</v>
      </c>
      <c r="AB199" s="3" t="str">
        <f t="shared" si="19"/>
        <v>Effective</v>
      </c>
      <c r="AC199" s="3" t="str">
        <f t="shared" si="20"/>
        <v>Low</v>
      </c>
      <c r="AD199" s="3">
        <f t="shared" si="21"/>
        <v>3</v>
      </c>
      <c r="AE199" s="3">
        <f t="shared" si="22"/>
        <v>3</v>
      </c>
      <c r="AF199" s="3" t="s">
        <v>59</v>
      </c>
      <c r="AG199" s="3"/>
      <c r="AH199" s="3"/>
      <c r="AI199" s="3"/>
      <c r="AJ199" s="3"/>
      <c r="AK199" s="3"/>
      <c r="AL199" s="3" t="s">
        <v>60</v>
      </c>
      <c r="AM199" s="3" t="str">
        <f t="shared" si="23"/>
        <v>Must Have</v>
      </c>
    </row>
    <row r="200" spans="1:39" ht="108" customHeight="1" x14ac:dyDescent="0.35">
      <c r="A200" s="4">
        <v>199</v>
      </c>
      <c r="B200" s="3" t="s">
        <v>39</v>
      </c>
      <c r="C200" s="3" t="s">
        <v>2158</v>
      </c>
      <c r="D200" s="3" t="s">
        <v>365</v>
      </c>
      <c r="E200" s="3" t="s">
        <v>2159</v>
      </c>
      <c r="F200" s="3" t="s">
        <v>42</v>
      </c>
      <c r="G200" s="3" t="s">
        <v>1872</v>
      </c>
      <c r="H200" s="3" t="s">
        <v>2160</v>
      </c>
      <c r="I200" s="4" t="s">
        <v>2161</v>
      </c>
      <c r="J200" s="3" t="s">
        <v>2162</v>
      </c>
      <c r="K200" s="3" t="s">
        <v>2163</v>
      </c>
      <c r="L200" s="3" t="s">
        <v>2164</v>
      </c>
      <c r="M200" s="3" t="s">
        <v>2165</v>
      </c>
      <c r="N200" s="3" t="s">
        <v>2166</v>
      </c>
      <c r="O200" s="3" t="s">
        <v>2167</v>
      </c>
      <c r="P200" s="3" t="s">
        <v>122</v>
      </c>
      <c r="Q200" s="3" t="s">
        <v>52</v>
      </c>
      <c r="R200" s="3" t="s">
        <v>53</v>
      </c>
      <c r="S200" s="3" t="s">
        <v>2168</v>
      </c>
      <c r="T200" s="3" t="s">
        <v>2169</v>
      </c>
      <c r="U200" s="3" t="s">
        <v>2170</v>
      </c>
      <c r="V200" s="3" t="s">
        <v>2171</v>
      </c>
      <c r="W200" s="3" t="s">
        <v>58</v>
      </c>
      <c r="X200" s="3">
        <f t="shared" si="18"/>
        <v>3</v>
      </c>
      <c r="Y200" s="3" t="s">
        <v>53</v>
      </c>
      <c r="Z200" s="3" t="s">
        <v>53</v>
      </c>
      <c r="AA200" s="3" t="s">
        <v>53</v>
      </c>
      <c r="AB200" s="3" t="str">
        <f t="shared" si="19"/>
        <v>Effective</v>
      </c>
      <c r="AC200" s="3" t="str">
        <f t="shared" si="20"/>
        <v>Low</v>
      </c>
      <c r="AD200" s="3">
        <f t="shared" si="21"/>
        <v>3</v>
      </c>
      <c r="AE200" s="3">
        <f t="shared" si="22"/>
        <v>3</v>
      </c>
      <c r="AF200" s="3" t="s">
        <v>59</v>
      </c>
      <c r="AG200" s="3"/>
      <c r="AH200" s="3"/>
      <c r="AI200" s="3"/>
      <c r="AJ200" s="3"/>
      <c r="AK200" s="3"/>
      <c r="AL200" s="3" t="s">
        <v>60</v>
      </c>
      <c r="AM200" s="3" t="str">
        <f t="shared" si="23"/>
        <v>Must Have</v>
      </c>
    </row>
    <row r="201" spans="1:39" ht="108" customHeight="1" x14ac:dyDescent="0.35">
      <c r="A201" s="4">
        <v>200</v>
      </c>
      <c r="B201" s="3" t="s">
        <v>39</v>
      </c>
      <c r="C201" s="3" t="s">
        <v>2172</v>
      </c>
      <c r="D201" s="3" t="s">
        <v>365</v>
      </c>
      <c r="E201" s="3" t="s">
        <v>2173</v>
      </c>
      <c r="F201" s="3" t="s">
        <v>114</v>
      </c>
      <c r="G201" s="3" t="s">
        <v>1872</v>
      </c>
      <c r="H201" s="3" t="s">
        <v>2174</v>
      </c>
      <c r="I201" s="4" t="s">
        <v>2175</v>
      </c>
      <c r="J201" s="3" t="s">
        <v>2176</v>
      </c>
      <c r="K201" s="3" t="s">
        <v>2177</v>
      </c>
      <c r="L201" s="3" t="s">
        <v>2178</v>
      </c>
      <c r="M201" s="3" t="s">
        <v>2179</v>
      </c>
      <c r="N201" s="3" t="s">
        <v>2180</v>
      </c>
      <c r="O201" s="3" t="s">
        <v>2181</v>
      </c>
      <c r="P201" s="3" t="s">
        <v>122</v>
      </c>
      <c r="Q201" s="3" t="s">
        <v>52</v>
      </c>
      <c r="R201" s="3" t="s">
        <v>53</v>
      </c>
      <c r="S201" s="3" t="s">
        <v>2102</v>
      </c>
      <c r="T201" s="3" t="s">
        <v>2182</v>
      </c>
      <c r="U201" s="3" t="s">
        <v>2183</v>
      </c>
      <c r="V201" s="3" t="s">
        <v>2184</v>
      </c>
      <c r="W201" s="3" t="s">
        <v>58</v>
      </c>
      <c r="X201" s="3">
        <f t="shared" si="18"/>
        <v>3</v>
      </c>
      <c r="Y201" s="3" t="s">
        <v>53</v>
      </c>
      <c r="Z201" s="3" t="s">
        <v>53</v>
      </c>
      <c r="AA201" s="3" t="s">
        <v>53</v>
      </c>
      <c r="AB201" s="3" t="str">
        <f t="shared" si="19"/>
        <v>Effective</v>
      </c>
      <c r="AC201" s="3" t="str">
        <f t="shared" si="20"/>
        <v>Low</v>
      </c>
      <c r="AD201" s="3">
        <f t="shared" si="21"/>
        <v>3</v>
      </c>
      <c r="AE201" s="3">
        <f t="shared" si="22"/>
        <v>3</v>
      </c>
      <c r="AF201" s="3" t="s">
        <v>59</v>
      </c>
      <c r="AG201" s="3"/>
      <c r="AH201" s="3"/>
      <c r="AI201" s="3"/>
      <c r="AJ201" s="3"/>
      <c r="AK201" s="3"/>
      <c r="AL201" s="3" t="s">
        <v>60</v>
      </c>
      <c r="AM201" s="3" t="str">
        <f t="shared" si="23"/>
        <v>Must Have</v>
      </c>
    </row>
    <row r="202" spans="1:39" ht="232" x14ac:dyDescent="0.35">
      <c r="A202" s="4">
        <v>201</v>
      </c>
      <c r="B202" s="3" t="s">
        <v>39</v>
      </c>
      <c r="C202" s="3" t="s">
        <v>2172</v>
      </c>
      <c r="D202" s="3" t="s">
        <v>365</v>
      </c>
      <c r="E202" s="3" t="s">
        <v>2173</v>
      </c>
      <c r="F202" s="3" t="s">
        <v>114</v>
      </c>
      <c r="G202" s="3" t="s">
        <v>1872</v>
      </c>
      <c r="H202" s="3" t="s">
        <v>2174</v>
      </c>
      <c r="I202" s="4" t="s">
        <v>2185</v>
      </c>
      <c r="J202" s="3" t="s">
        <v>2186</v>
      </c>
      <c r="K202" s="3" t="s">
        <v>2187</v>
      </c>
      <c r="L202" s="3" t="s">
        <v>2188</v>
      </c>
      <c r="M202" s="3" t="s">
        <v>2189</v>
      </c>
      <c r="N202" s="3" t="s">
        <v>2190</v>
      </c>
      <c r="O202" s="3" t="s">
        <v>2191</v>
      </c>
      <c r="P202" s="3" t="s">
        <v>206</v>
      </c>
      <c r="Q202" s="3" t="s">
        <v>52</v>
      </c>
      <c r="R202" s="3" t="s">
        <v>53</v>
      </c>
      <c r="S202" s="3" t="s">
        <v>2102</v>
      </c>
      <c r="T202" s="3" t="s">
        <v>920</v>
      </c>
      <c r="U202" s="3" t="s">
        <v>2192</v>
      </c>
      <c r="V202" s="3" t="s">
        <v>2193</v>
      </c>
      <c r="W202" s="3" t="s">
        <v>58</v>
      </c>
      <c r="X202" s="3">
        <f t="shared" si="18"/>
        <v>3</v>
      </c>
      <c r="Y202" s="3" t="s">
        <v>53</v>
      </c>
      <c r="Z202" s="3" t="s">
        <v>53</v>
      </c>
      <c r="AA202" s="3" t="s">
        <v>53</v>
      </c>
      <c r="AB202" s="3" t="str">
        <f t="shared" si="19"/>
        <v>Effective</v>
      </c>
      <c r="AC202" s="3" t="str">
        <f t="shared" si="20"/>
        <v>Low</v>
      </c>
      <c r="AD202" s="3">
        <f t="shared" si="21"/>
        <v>3</v>
      </c>
      <c r="AE202" s="3">
        <f t="shared" si="22"/>
        <v>3</v>
      </c>
      <c r="AF202" s="3" t="s">
        <v>59</v>
      </c>
      <c r="AG202" s="3"/>
      <c r="AH202" s="3"/>
      <c r="AI202" s="3"/>
      <c r="AJ202" s="3"/>
      <c r="AK202" s="3"/>
      <c r="AL202" s="3" t="s">
        <v>60</v>
      </c>
      <c r="AM202" s="3" t="str">
        <f t="shared" si="23"/>
        <v>Must Have</v>
      </c>
    </row>
    <row r="203" spans="1:39" ht="232" x14ac:dyDescent="0.35">
      <c r="A203" s="4">
        <v>202</v>
      </c>
      <c r="B203" s="3" t="s">
        <v>39</v>
      </c>
      <c r="C203" s="3" t="s">
        <v>2172</v>
      </c>
      <c r="D203" s="3" t="s">
        <v>365</v>
      </c>
      <c r="E203" s="3" t="s">
        <v>2173</v>
      </c>
      <c r="F203" s="3" t="s">
        <v>114</v>
      </c>
      <c r="G203" s="3" t="s">
        <v>1872</v>
      </c>
      <c r="H203" s="3" t="s">
        <v>2174</v>
      </c>
      <c r="I203" s="4" t="s">
        <v>2194</v>
      </c>
      <c r="J203" s="3" t="s">
        <v>2195</v>
      </c>
      <c r="K203" s="3" t="s">
        <v>2196</v>
      </c>
      <c r="L203" s="3" t="s">
        <v>2197</v>
      </c>
      <c r="M203" s="3" t="s">
        <v>2198</v>
      </c>
      <c r="N203" s="3" t="s">
        <v>2199</v>
      </c>
      <c r="O203" s="3" t="s">
        <v>2200</v>
      </c>
      <c r="P203" s="3" t="s">
        <v>206</v>
      </c>
      <c r="Q203" s="3" t="s">
        <v>153</v>
      </c>
      <c r="R203" s="3" t="s">
        <v>53</v>
      </c>
      <c r="S203" s="3" t="s">
        <v>2201</v>
      </c>
      <c r="T203" s="3" t="s">
        <v>920</v>
      </c>
      <c r="U203" s="3" t="s">
        <v>2202</v>
      </c>
      <c r="V203" s="3" t="s">
        <v>2203</v>
      </c>
      <c r="W203" s="3" t="s">
        <v>58</v>
      </c>
      <c r="X203" s="3">
        <f t="shared" si="18"/>
        <v>3</v>
      </c>
      <c r="Y203" s="3" t="s">
        <v>53</v>
      </c>
      <c r="Z203" s="3" t="s">
        <v>53</v>
      </c>
      <c r="AA203" s="3" t="s">
        <v>53</v>
      </c>
      <c r="AB203" s="3" t="str">
        <f t="shared" si="19"/>
        <v>Effective</v>
      </c>
      <c r="AC203" s="3" t="str">
        <f t="shared" si="20"/>
        <v>Low</v>
      </c>
      <c r="AD203" s="3">
        <f t="shared" si="21"/>
        <v>3</v>
      </c>
      <c r="AE203" s="3">
        <f t="shared" si="22"/>
        <v>3</v>
      </c>
      <c r="AF203" s="3" t="s">
        <v>59</v>
      </c>
      <c r="AG203" s="3"/>
      <c r="AH203" s="3"/>
      <c r="AI203" s="3"/>
      <c r="AJ203" s="3"/>
      <c r="AK203" s="3"/>
      <c r="AL203" s="3" t="s">
        <v>60</v>
      </c>
      <c r="AM203" s="3" t="str">
        <f t="shared" si="23"/>
        <v>Must Have</v>
      </c>
    </row>
    <row r="204" spans="1:39" ht="232" x14ac:dyDescent="0.35">
      <c r="A204" s="4">
        <v>203</v>
      </c>
      <c r="B204" s="3" t="s">
        <v>39</v>
      </c>
      <c r="C204" s="3" t="s">
        <v>2172</v>
      </c>
      <c r="D204" s="3" t="s">
        <v>365</v>
      </c>
      <c r="E204" s="3" t="s">
        <v>2173</v>
      </c>
      <c r="F204" s="3" t="s">
        <v>114</v>
      </c>
      <c r="G204" s="3" t="s">
        <v>1872</v>
      </c>
      <c r="H204" s="3" t="s">
        <v>2174</v>
      </c>
      <c r="I204" s="4" t="s">
        <v>2204</v>
      </c>
      <c r="J204" s="3" t="s">
        <v>2205</v>
      </c>
      <c r="K204" s="3" t="s">
        <v>2206</v>
      </c>
      <c r="L204" s="3" t="s">
        <v>2207</v>
      </c>
      <c r="M204" s="3" t="s">
        <v>2208</v>
      </c>
      <c r="N204" s="3" t="s">
        <v>2209</v>
      </c>
      <c r="O204" s="3" t="s">
        <v>2210</v>
      </c>
      <c r="P204" s="3" t="s">
        <v>122</v>
      </c>
      <c r="Q204" s="3" t="s">
        <v>52</v>
      </c>
      <c r="R204" s="3" t="s">
        <v>53</v>
      </c>
      <c r="S204" s="3" t="s">
        <v>2102</v>
      </c>
      <c r="T204" s="3" t="s">
        <v>920</v>
      </c>
      <c r="U204" s="3" t="s">
        <v>2211</v>
      </c>
      <c r="V204" s="3" t="s">
        <v>2212</v>
      </c>
      <c r="W204" s="3" t="s">
        <v>58</v>
      </c>
      <c r="X204" s="3">
        <f t="shared" si="18"/>
        <v>3</v>
      </c>
      <c r="Y204" s="3" t="s">
        <v>53</v>
      </c>
      <c r="Z204" s="3" t="s">
        <v>53</v>
      </c>
      <c r="AA204" s="3" t="s">
        <v>53</v>
      </c>
      <c r="AB204" s="3" t="str">
        <f t="shared" si="19"/>
        <v>Effective</v>
      </c>
      <c r="AC204" s="3" t="str">
        <f t="shared" si="20"/>
        <v>Low</v>
      </c>
      <c r="AD204" s="3">
        <f t="shared" si="21"/>
        <v>3</v>
      </c>
      <c r="AE204" s="3">
        <f t="shared" si="22"/>
        <v>3</v>
      </c>
      <c r="AF204" s="3" t="s">
        <v>59</v>
      </c>
      <c r="AG204" s="3"/>
      <c r="AH204" s="3"/>
      <c r="AI204" s="3"/>
      <c r="AJ204" s="3"/>
      <c r="AK204" s="3"/>
      <c r="AL204" s="3" t="s">
        <v>60</v>
      </c>
      <c r="AM204" s="3" t="str">
        <f t="shared" si="23"/>
        <v>Must Have</v>
      </c>
    </row>
    <row r="205" spans="1:39" ht="232" x14ac:dyDescent="0.35">
      <c r="A205" s="4">
        <v>204</v>
      </c>
      <c r="B205" s="3" t="s">
        <v>39</v>
      </c>
      <c r="C205" s="3" t="s">
        <v>2172</v>
      </c>
      <c r="D205" s="3" t="s">
        <v>365</v>
      </c>
      <c r="E205" s="3" t="s">
        <v>2173</v>
      </c>
      <c r="F205" s="3" t="s">
        <v>114</v>
      </c>
      <c r="G205" s="3" t="s">
        <v>1872</v>
      </c>
      <c r="H205" s="3" t="s">
        <v>2174</v>
      </c>
      <c r="I205" s="4" t="s">
        <v>2213</v>
      </c>
      <c r="J205" s="3" t="s">
        <v>2214</v>
      </c>
      <c r="K205" s="3" t="s">
        <v>2215</v>
      </c>
      <c r="L205" s="3" t="s">
        <v>2216</v>
      </c>
      <c r="M205" s="3" t="s">
        <v>2217</v>
      </c>
      <c r="N205" s="3" t="s">
        <v>2218</v>
      </c>
      <c r="O205" s="3" t="s">
        <v>2219</v>
      </c>
      <c r="P205" s="3" t="s">
        <v>51</v>
      </c>
      <c r="Q205" s="3" t="s">
        <v>52</v>
      </c>
      <c r="R205" s="3" t="s">
        <v>53</v>
      </c>
      <c r="S205" s="3" t="s">
        <v>2220</v>
      </c>
      <c r="T205" s="3" t="s">
        <v>2221</v>
      </c>
      <c r="U205" s="3" t="s">
        <v>2222</v>
      </c>
      <c r="V205" s="3" t="s">
        <v>2223</v>
      </c>
      <c r="W205" s="3" t="s">
        <v>58</v>
      </c>
      <c r="X205" s="3">
        <f t="shared" si="18"/>
        <v>3</v>
      </c>
      <c r="Y205" s="3" t="s">
        <v>53</v>
      </c>
      <c r="Z205" s="3" t="s">
        <v>53</v>
      </c>
      <c r="AA205" s="3" t="s">
        <v>53</v>
      </c>
      <c r="AB205" s="3" t="str">
        <f t="shared" si="19"/>
        <v>Effective</v>
      </c>
      <c r="AC205" s="3" t="str">
        <f t="shared" si="20"/>
        <v>Low</v>
      </c>
      <c r="AD205" s="3">
        <f t="shared" si="21"/>
        <v>3</v>
      </c>
      <c r="AE205" s="3">
        <f t="shared" si="22"/>
        <v>3</v>
      </c>
      <c r="AF205" s="3" t="s">
        <v>59</v>
      </c>
      <c r="AG205" s="3"/>
      <c r="AH205" s="3"/>
      <c r="AI205" s="3"/>
      <c r="AJ205" s="3"/>
      <c r="AK205" s="3"/>
      <c r="AL205" s="3" t="s">
        <v>60</v>
      </c>
      <c r="AM205" s="3" t="str">
        <f t="shared" si="23"/>
        <v>Must Have</v>
      </c>
    </row>
    <row r="206" spans="1:39" ht="348" x14ac:dyDescent="0.35">
      <c r="A206" s="4">
        <v>205</v>
      </c>
      <c r="B206" s="3" t="s">
        <v>39</v>
      </c>
      <c r="C206" s="3" t="s">
        <v>40</v>
      </c>
      <c r="D206" s="3" t="s">
        <v>41</v>
      </c>
      <c r="E206" s="3" t="s">
        <v>41</v>
      </c>
      <c r="F206" s="3" t="s">
        <v>42</v>
      </c>
      <c r="G206" s="3" t="s">
        <v>2224</v>
      </c>
      <c r="H206" s="3" t="s">
        <v>2225</v>
      </c>
      <c r="I206" s="4" t="s">
        <v>2226</v>
      </c>
      <c r="J206" s="3" t="s">
        <v>2227</v>
      </c>
      <c r="K206" s="3" t="s">
        <v>2228</v>
      </c>
      <c r="L206" s="3" t="s">
        <v>2229</v>
      </c>
      <c r="M206" s="3" t="s">
        <v>2230</v>
      </c>
      <c r="N206" s="3" t="s">
        <v>2231</v>
      </c>
      <c r="O206" s="3" t="s">
        <v>2232</v>
      </c>
      <c r="P206" s="3" t="s">
        <v>51</v>
      </c>
      <c r="Q206" s="3" t="s">
        <v>52</v>
      </c>
      <c r="R206" s="3" t="s">
        <v>53</v>
      </c>
      <c r="S206" s="3" t="s">
        <v>77</v>
      </c>
      <c r="T206" s="3" t="s">
        <v>2233</v>
      </c>
      <c r="U206" s="3" t="s">
        <v>2234</v>
      </c>
      <c r="V206" s="3" t="s">
        <v>2235</v>
      </c>
      <c r="W206" s="3" t="s">
        <v>58</v>
      </c>
      <c r="X206" s="3">
        <f t="shared" si="18"/>
        <v>3</v>
      </c>
      <c r="Y206" s="3" t="s">
        <v>53</v>
      </c>
      <c r="Z206" s="3" t="s">
        <v>53</v>
      </c>
      <c r="AA206" s="3" t="s">
        <v>53</v>
      </c>
      <c r="AB206" s="3" t="str">
        <f t="shared" si="19"/>
        <v>Effective</v>
      </c>
      <c r="AC206" s="3" t="str">
        <f t="shared" si="20"/>
        <v>Low</v>
      </c>
      <c r="AD206" s="3">
        <f t="shared" si="21"/>
        <v>3</v>
      </c>
      <c r="AE206" s="3">
        <f t="shared" si="22"/>
        <v>3</v>
      </c>
      <c r="AF206" s="3" t="s">
        <v>59</v>
      </c>
      <c r="AG206" s="3"/>
      <c r="AH206" s="3"/>
      <c r="AI206" s="3"/>
      <c r="AJ206" s="3"/>
      <c r="AK206" s="3"/>
      <c r="AL206" s="3" t="s">
        <v>60</v>
      </c>
      <c r="AM206" s="3" t="str">
        <f t="shared" si="23"/>
        <v>Must Have</v>
      </c>
    </row>
    <row r="207" spans="1:39" ht="333.5" x14ac:dyDescent="0.35">
      <c r="A207" s="4">
        <v>206</v>
      </c>
      <c r="B207" s="3" t="s">
        <v>39</v>
      </c>
      <c r="C207" s="3" t="s">
        <v>40</v>
      </c>
      <c r="D207" s="3" t="s">
        <v>41</v>
      </c>
      <c r="E207" s="3" t="s">
        <v>41</v>
      </c>
      <c r="F207" s="3" t="s">
        <v>42</v>
      </c>
      <c r="G207" s="3" t="s">
        <v>2224</v>
      </c>
      <c r="H207" s="3" t="s">
        <v>2225</v>
      </c>
      <c r="I207" s="4" t="s">
        <v>2236</v>
      </c>
      <c r="J207" s="3" t="s">
        <v>2237</v>
      </c>
      <c r="K207" s="3" t="s">
        <v>2238</v>
      </c>
      <c r="L207" s="3" t="s">
        <v>2239</v>
      </c>
      <c r="M207" s="3" t="s">
        <v>2240</v>
      </c>
      <c r="N207" s="3" t="s">
        <v>2241</v>
      </c>
      <c r="O207" s="3" t="s">
        <v>2242</v>
      </c>
      <c r="P207" s="3" t="s">
        <v>51</v>
      </c>
      <c r="Q207" s="3" t="s">
        <v>153</v>
      </c>
      <c r="R207" s="3" t="s">
        <v>53</v>
      </c>
      <c r="S207" s="3" t="s">
        <v>2243</v>
      </c>
      <c r="T207" s="3" t="s">
        <v>1139</v>
      </c>
      <c r="U207" s="3" t="s">
        <v>2244</v>
      </c>
      <c r="V207" s="3" t="s">
        <v>2245</v>
      </c>
      <c r="W207" s="3" t="s">
        <v>159</v>
      </c>
      <c r="X207" s="3">
        <f t="shared" si="18"/>
        <v>2</v>
      </c>
      <c r="Y207" s="3" t="s">
        <v>53</v>
      </c>
      <c r="Z207" s="3" t="s">
        <v>53</v>
      </c>
      <c r="AA207" s="3" t="s">
        <v>53</v>
      </c>
      <c r="AB207" s="3" t="str">
        <f t="shared" si="19"/>
        <v>Effective</v>
      </c>
      <c r="AC207" s="3" t="str">
        <f t="shared" si="20"/>
        <v>Low</v>
      </c>
      <c r="AD207" s="3">
        <f t="shared" si="21"/>
        <v>2</v>
      </c>
      <c r="AE207" s="3">
        <f t="shared" si="22"/>
        <v>2</v>
      </c>
      <c r="AF207" s="3" t="s">
        <v>59</v>
      </c>
      <c r="AG207" s="3"/>
      <c r="AH207" s="3"/>
      <c r="AI207" s="3"/>
      <c r="AJ207" s="3"/>
      <c r="AK207" s="3"/>
      <c r="AL207" s="3" t="s">
        <v>60</v>
      </c>
      <c r="AM207" s="3" t="str">
        <f t="shared" si="23"/>
        <v>Should Have</v>
      </c>
    </row>
    <row r="208" spans="1:39" ht="348" x14ac:dyDescent="0.35">
      <c r="A208" s="4">
        <v>207</v>
      </c>
      <c r="B208" s="3" t="s">
        <v>39</v>
      </c>
      <c r="C208" s="3" t="s">
        <v>40</v>
      </c>
      <c r="D208" s="3" t="s">
        <v>41</v>
      </c>
      <c r="E208" s="3" t="s">
        <v>41</v>
      </c>
      <c r="F208" s="3" t="s">
        <v>42</v>
      </c>
      <c r="G208" s="3" t="s">
        <v>2224</v>
      </c>
      <c r="H208" s="3" t="s">
        <v>2225</v>
      </c>
      <c r="I208" s="4" t="s">
        <v>2246</v>
      </c>
      <c r="J208" s="3" t="s">
        <v>2247</v>
      </c>
      <c r="K208" s="3" t="s">
        <v>2248</v>
      </c>
      <c r="L208" s="3" t="s">
        <v>2249</v>
      </c>
      <c r="M208" s="3" t="s">
        <v>2250</v>
      </c>
      <c r="N208" s="3" t="s">
        <v>2251</v>
      </c>
      <c r="O208" s="3" t="s">
        <v>2252</v>
      </c>
      <c r="P208" s="3" t="s">
        <v>51</v>
      </c>
      <c r="Q208" s="3" t="s">
        <v>52</v>
      </c>
      <c r="R208" s="3" t="s">
        <v>154</v>
      </c>
      <c r="S208" s="3" t="s">
        <v>2253</v>
      </c>
      <c r="T208" s="3" t="s">
        <v>2233</v>
      </c>
      <c r="U208" s="3" t="s">
        <v>2254</v>
      </c>
      <c r="V208" s="3" t="s">
        <v>2255</v>
      </c>
      <c r="W208" s="3" t="s">
        <v>159</v>
      </c>
      <c r="X208" s="3">
        <f t="shared" si="18"/>
        <v>2</v>
      </c>
      <c r="Y208" s="3" t="s">
        <v>53</v>
      </c>
      <c r="Z208" s="3" t="s">
        <v>53</v>
      </c>
      <c r="AA208" s="3" t="s">
        <v>53</v>
      </c>
      <c r="AB208" s="3" t="str">
        <f t="shared" si="19"/>
        <v>Effective</v>
      </c>
      <c r="AC208" s="3" t="str">
        <f t="shared" si="20"/>
        <v>Low</v>
      </c>
      <c r="AD208" s="3">
        <f t="shared" si="21"/>
        <v>2</v>
      </c>
      <c r="AE208" s="3">
        <f t="shared" si="22"/>
        <v>2</v>
      </c>
      <c r="AF208" s="3" t="s">
        <v>59</v>
      </c>
      <c r="AG208" s="3"/>
      <c r="AH208" s="3"/>
      <c r="AI208" s="3"/>
      <c r="AJ208" s="3"/>
      <c r="AK208" s="3"/>
      <c r="AL208" s="3" t="s">
        <v>60</v>
      </c>
      <c r="AM208" s="3" t="str">
        <f t="shared" si="23"/>
        <v>Should Have</v>
      </c>
    </row>
    <row r="209" spans="1:39" ht="348" x14ac:dyDescent="0.35">
      <c r="A209" s="4">
        <v>208</v>
      </c>
      <c r="B209" s="3" t="s">
        <v>39</v>
      </c>
      <c r="C209" s="3" t="s">
        <v>40</v>
      </c>
      <c r="D209" s="3" t="s">
        <v>41</v>
      </c>
      <c r="E209" s="3" t="s">
        <v>41</v>
      </c>
      <c r="F209" s="3" t="s">
        <v>42</v>
      </c>
      <c r="G209" s="3" t="s">
        <v>2224</v>
      </c>
      <c r="H209" s="3" t="s">
        <v>2225</v>
      </c>
      <c r="I209" s="4" t="s">
        <v>2256</v>
      </c>
      <c r="J209" s="3" t="s">
        <v>2257</v>
      </c>
      <c r="K209" s="3" t="s">
        <v>2258</v>
      </c>
      <c r="L209" s="3" t="s">
        <v>2259</v>
      </c>
      <c r="M209" s="3" t="s">
        <v>2260</v>
      </c>
      <c r="N209" s="3" t="s">
        <v>2261</v>
      </c>
      <c r="O209" s="3" t="s">
        <v>2262</v>
      </c>
      <c r="P209" s="3" t="s">
        <v>51</v>
      </c>
      <c r="Q209" s="3" t="s">
        <v>52</v>
      </c>
      <c r="R209" s="3" t="s">
        <v>53</v>
      </c>
      <c r="S209" s="3" t="s">
        <v>2263</v>
      </c>
      <c r="T209" s="3" t="s">
        <v>68</v>
      </c>
      <c r="U209" s="3" t="s">
        <v>2264</v>
      </c>
      <c r="V209" s="3" t="s">
        <v>2265</v>
      </c>
      <c r="W209" s="3" t="s">
        <v>58</v>
      </c>
      <c r="X209" s="3">
        <f t="shared" si="18"/>
        <v>3</v>
      </c>
      <c r="Y209" s="3" t="s">
        <v>53</v>
      </c>
      <c r="Z209" s="3" t="s">
        <v>53</v>
      </c>
      <c r="AA209" s="3" t="s">
        <v>53</v>
      </c>
      <c r="AB209" s="3" t="str">
        <f t="shared" si="19"/>
        <v>Effective</v>
      </c>
      <c r="AC209" s="3" t="str">
        <f t="shared" si="20"/>
        <v>Low</v>
      </c>
      <c r="AD209" s="3">
        <f t="shared" si="21"/>
        <v>3</v>
      </c>
      <c r="AE209" s="3">
        <f t="shared" si="22"/>
        <v>3</v>
      </c>
      <c r="AF209" s="3" t="s">
        <v>59</v>
      </c>
      <c r="AG209" s="3"/>
      <c r="AH209" s="3"/>
      <c r="AI209" s="3"/>
      <c r="AJ209" s="3"/>
      <c r="AK209" s="3"/>
      <c r="AL209" s="3" t="s">
        <v>60</v>
      </c>
      <c r="AM209" s="3" t="str">
        <f t="shared" si="23"/>
        <v>Must Have</v>
      </c>
    </row>
    <row r="210" spans="1:39" ht="362.5" x14ac:dyDescent="0.35">
      <c r="A210" s="4">
        <v>209</v>
      </c>
      <c r="B210" s="3" t="s">
        <v>39</v>
      </c>
      <c r="C210" s="3" t="s">
        <v>40</v>
      </c>
      <c r="D210" s="3" t="s">
        <v>41</v>
      </c>
      <c r="E210" s="3" t="s">
        <v>41</v>
      </c>
      <c r="F210" s="3" t="s">
        <v>42</v>
      </c>
      <c r="G210" s="3" t="s">
        <v>2224</v>
      </c>
      <c r="H210" s="3" t="s">
        <v>2225</v>
      </c>
      <c r="I210" s="4" t="s">
        <v>2266</v>
      </c>
      <c r="J210" s="3" t="s">
        <v>2267</v>
      </c>
      <c r="K210" s="3" t="s">
        <v>2268</v>
      </c>
      <c r="L210" s="3" t="s">
        <v>2269</v>
      </c>
      <c r="M210" s="3" t="s">
        <v>2270</v>
      </c>
      <c r="N210" s="3" t="s">
        <v>2271</v>
      </c>
      <c r="O210" s="3" t="s">
        <v>2272</v>
      </c>
      <c r="P210" s="3" t="s">
        <v>51</v>
      </c>
      <c r="Q210" s="3" t="s">
        <v>52</v>
      </c>
      <c r="R210" s="3" t="s">
        <v>53</v>
      </c>
      <c r="S210" s="3" t="s">
        <v>2273</v>
      </c>
      <c r="T210" s="3" t="s">
        <v>2233</v>
      </c>
      <c r="U210" s="3" t="s">
        <v>2274</v>
      </c>
      <c r="V210" s="3" t="s">
        <v>2275</v>
      </c>
      <c r="W210" s="3" t="s">
        <v>159</v>
      </c>
      <c r="X210" s="3">
        <f t="shared" si="18"/>
        <v>2</v>
      </c>
      <c r="Y210" s="3" t="s">
        <v>53</v>
      </c>
      <c r="Z210" s="3" t="s">
        <v>53</v>
      </c>
      <c r="AA210" s="3" t="s">
        <v>53</v>
      </c>
      <c r="AB210" s="3" t="str">
        <f t="shared" si="19"/>
        <v>Effective</v>
      </c>
      <c r="AC210" s="3" t="str">
        <f t="shared" si="20"/>
        <v>Low</v>
      </c>
      <c r="AD210" s="3">
        <f t="shared" si="21"/>
        <v>2</v>
      </c>
      <c r="AE210" s="3">
        <f t="shared" si="22"/>
        <v>2</v>
      </c>
      <c r="AF210" s="3" t="s">
        <v>59</v>
      </c>
      <c r="AG210" s="3"/>
      <c r="AH210" s="3"/>
      <c r="AI210" s="3"/>
      <c r="AJ210" s="3"/>
      <c r="AK210" s="3"/>
      <c r="AL210" s="3" t="s">
        <v>60</v>
      </c>
      <c r="AM210" s="3" t="str">
        <f t="shared" si="23"/>
        <v>Should Have</v>
      </c>
    </row>
    <row r="211" spans="1:39" ht="319" x14ac:dyDescent="0.35">
      <c r="A211" s="4">
        <v>210</v>
      </c>
      <c r="B211" s="3" t="s">
        <v>39</v>
      </c>
      <c r="C211" s="3" t="s">
        <v>40</v>
      </c>
      <c r="D211" s="3" t="s">
        <v>41</v>
      </c>
      <c r="E211" s="3" t="s">
        <v>41</v>
      </c>
      <c r="F211" s="3" t="s">
        <v>42</v>
      </c>
      <c r="G211" s="3" t="s">
        <v>2224</v>
      </c>
      <c r="H211" s="3" t="s">
        <v>2225</v>
      </c>
      <c r="I211" s="4" t="s">
        <v>2276</v>
      </c>
      <c r="J211" s="3" t="s">
        <v>2277</v>
      </c>
      <c r="K211" s="3" t="s">
        <v>2278</v>
      </c>
      <c r="L211" s="3" t="s">
        <v>2279</v>
      </c>
      <c r="M211" s="3" t="s">
        <v>2280</v>
      </c>
      <c r="N211" s="3" t="s">
        <v>2281</v>
      </c>
      <c r="O211" s="3" t="s">
        <v>2282</v>
      </c>
      <c r="P211" s="3" t="s">
        <v>51</v>
      </c>
      <c r="Q211" s="3" t="s">
        <v>52</v>
      </c>
      <c r="R211" s="3" t="s">
        <v>53</v>
      </c>
      <c r="S211" s="3" t="s">
        <v>2283</v>
      </c>
      <c r="T211" s="3" t="s">
        <v>2233</v>
      </c>
      <c r="U211" s="3" t="s">
        <v>2284</v>
      </c>
      <c r="V211" s="3" t="s">
        <v>2285</v>
      </c>
      <c r="W211" s="3" t="s">
        <v>58</v>
      </c>
      <c r="X211" s="3">
        <f t="shared" si="18"/>
        <v>3</v>
      </c>
      <c r="Y211" s="3" t="s">
        <v>53</v>
      </c>
      <c r="Z211" s="3" t="s">
        <v>53</v>
      </c>
      <c r="AA211" s="3" t="s">
        <v>53</v>
      </c>
      <c r="AB211" s="3" t="str">
        <f t="shared" si="19"/>
        <v>Effective</v>
      </c>
      <c r="AC211" s="3" t="str">
        <f t="shared" si="20"/>
        <v>Low</v>
      </c>
      <c r="AD211" s="3">
        <f t="shared" si="21"/>
        <v>3</v>
      </c>
      <c r="AE211" s="3">
        <f t="shared" si="22"/>
        <v>3</v>
      </c>
      <c r="AF211" s="3" t="s">
        <v>59</v>
      </c>
      <c r="AG211" s="3"/>
      <c r="AH211" s="3"/>
      <c r="AI211" s="3"/>
      <c r="AJ211" s="3"/>
      <c r="AK211" s="3"/>
      <c r="AL211" s="3" t="s">
        <v>60</v>
      </c>
      <c r="AM211" s="3" t="str">
        <f t="shared" si="23"/>
        <v>Must Have</v>
      </c>
    </row>
    <row r="212" spans="1:39" ht="348" x14ac:dyDescent="0.35">
      <c r="A212" s="4">
        <v>211</v>
      </c>
      <c r="B212" s="3" t="s">
        <v>39</v>
      </c>
      <c r="C212" s="3" t="s">
        <v>40</v>
      </c>
      <c r="D212" s="3" t="s">
        <v>41</v>
      </c>
      <c r="E212" s="3" t="s">
        <v>41</v>
      </c>
      <c r="F212" s="3" t="s">
        <v>114</v>
      </c>
      <c r="G212" s="3" t="s">
        <v>2224</v>
      </c>
      <c r="H212" s="3" t="s">
        <v>2225</v>
      </c>
      <c r="I212" s="4" t="s">
        <v>2286</v>
      </c>
      <c r="J212" s="3" t="s">
        <v>2287</v>
      </c>
      <c r="K212" s="3" t="s">
        <v>2288</v>
      </c>
      <c r="L212" s="3" t="s">
        <v>2289</v>
      </c>
      <c r="M212" s="3" t="s">
        <v>2290</v>
      </c>
      <c r="N212" s="3" t="s">
        <v>2291</v>
      </c>
      <c r="O212" s="3" t="s">
        <v>2292</v>
      </c>
      <c r="P212" s="3" t="s">
        <v>51</v>
      </c>
      <c r="Q212" s="3" t="s">
        <v>52</v>
      </c>
      <c r="R212" s="3" t="s">
        <v>53</v>
      </c>
      <c r="S212" s="3" t="s">
        <v>2293</v>
      </c>
      <c r="T212" s="3" t="s">
        <v>1958</v>
      </c>
      <c r="U212" s="3" t="s">
        <v>2294</v>
      </c>
      <c r="V212" s="3" t="s">
        <v>2295</v>
      </c>
      <c r="W212" s="3" t="s">
        <v>58</v>
      </c>
      <c r="X212" s="3">
        <f t="shared" si="18"/>
        <v>3</v>
      </c>
      <c r="Y212" s="3" t="s">
        <v>53</v>
      </c>
      <c r="Z212" s="3" t="s">
        <v>53</v>
      </c>
      <c r="AA212" s="3" t="s">
        <v>53</v>
      </c>
      <c r="AB212" s="3" t="str">
        <f t="shared" si="19"/>
        <v>Effective</v>
      </c>
      <c r="AC212" s="3" t="str">
        <f t="shared" si="20"/>
        <v>Low</v>
      </c>
      <c r="AD212" s="3">
        <f t="shared" si="21"/>
        <v>3</v>
      </c>
      <c r="AE212" s="3">
        <f t="shared" si="22"/>
        <v>3</v>
      </c>
      <c r="AF212" s="3" t="s">
        <v>59</v>
      </c>
      <c r="AG212" s="3"/>
      <c r="AH212" s="3"/>
      <c r="AI212" s="3"/>
      <c r="AJ212" s="3"/>
      <c r="AK212" s="3"/>
      <c r="AL212" s="3" t="s">
        <v>60</v>
      </c>
      <c r="AM212" s="3" t="str">
        <f t="shared" si="23"/>
        <v>Must Have</v>
      </c>
    </row>
    <row r="213" spans="1:39" ht="333.5" x14ac:dyDescent="0.35">
      <c r="A213" s="4">
        <v>212</v>
      </c>
      <c r="B213" s="3" t="s">
        <v>39</v>
      </c>
      <c r="C213" s="3" t="s">
        <v>40</v>
      </c>
      <c r="D213" s="3" t="s">
        <v>41</v>
      </c>
      <c r="E213" s="3" t="s">
        <v>41</v>
      </c>
      <c r="F213" s="3" t="s">
        <v>114</v>
      </c>
      <c r="G213" s="3" t="s">
        <v>2224</v>
      </c>
      <c r="H213" s="3" t="s">
        <v>2225</v>
      </c>
      <c r="I213" s="4" t="s">
        <v>2296</v>
      </c>
      <c r="J213" s="3" t="s">
        <v>2297</v>
      </c>
      <c r="K213" s="3" t="s">
        <v>2298</v>
      </c>
      <c r="L213" s="3" t="s">
        <v>2299</v>
      </c>
      <c r="M213" s="3" t="s">
        <v>2300</v>
      </c>
      <c r="N213" s="3" t="s">
        <v>2301</v>
      </c>
      <c r="O213" s="3" t="s">
        <v>2302</v>
      </c>
      <c r="P213" s="3" t="s">
        <v>51</v>
      </c>
      <c r="Q213" s="3" t="s">
        <v>153</v>
      </c>
      <c r="R213" s="3" t="s">
        <v>53</v>
      </c>
      <c r="S213" s="3" t="s">
        <v>2303</v>
      </c>
      <c r="T213" s="3" t="s">
        <v>68</v>
      </c>
      <c r="U213" s="3" t="s">
        <v>2304</v>
      </c>
      <c r="V213" s="3" t="s">
        <v>2305</v>
      </c>
      <c r="W213" s="3" t="s">
        <v>159</v>
      </c>
      <c r="X213" s="3">
        <f t="shared" si="18"/>
        <v>2</v>
      </c>
      <c r="Y213" s="3" t="s">
        <v>53</v>
      </c>
      <c r="Z213" s="3" t="s">
        <v>53</v>
      </c>
      <c r="AA213" s="3" t="s">
        <v>53</v>
      </c>
      <c r="AB213" s="3" t="str">
        <f t="shared" si="19"/>
        <v>Effective</v>
      </c>
      <c r="AC213" s="3" t="str">
        <f t="shared" si="20"/>
        <v>Low</v>
      </c>
      <c r="AD213" s="3">
        <f t="shared" si="21"/>
        <v>2</v>
      </c>
      <c r="AE213" s="3">
        <f t="shared" si="22"/>
        <v>2</v>
      </c>
      <c r="AF213" s="3" t="s">
        <v>59</v>
      </c>
      <c r="AG213" s="3"/>
      <c r="AH213" s="3"/>
      <c r="AI213" s="3"/>
      <c r="AJ213" s="3"/>
      <c r="AK213" s="3"/>
      <c r="AL213" s="3" t="s">
        <v>60</v>
      </c>
      <c r="AM213" s="3" t="str">
        <f t="shared" si="23"/>
        <v>Should Have</v>
      </c>
    </row>
    <row r="214" spans="1:39" ht="362.5" x14ac:dyDescent="0.35">
      <c r="A214" s="4">
        <v>213</v>
      </c>
      <c r="B214" s="3" t="s">
        <v>39</v>
      </c>
      <c r="C214" s="3" t="s">
        <v>40</v>
      </c>
      <c r="D214" s="3" t="s">
        <v>41</v>
      </c>
      <c r="E214" s="3" t="s">
        <v>41</v>
      </c>
      <c r="F214" s="3" t="s">
        <v>42</v>
      </c>
      <c r="G214" s="3" t="s">
        <v>2224</v>
      </c>
      <c r="H214" s="3" t="s">
        <v>2225</v>
      </c>
      <c r="I214" s="4" t="s">
        <v>2306</v>
      </c>
      <c r="J214" s="3" t="s">
        <v>2307</v>
      </c>
      <c r="K214" s="3" t="s">
        <v>2308</v>
      </c>
      <c r="L214" s="3" t="s">
        <v>2309</v>
      </c>
      <c r="M214" s="3" t="s">
        <v>2310</v>
      </c>
      <c r="N214" s="3" t="s">
        <v>2311</v>
      </c>
      <c r="O214" s="3" t="s">
        <v>2312</v>
      </c>
      <c r="P214" s="3" t="s">
        <v>51</v>
      </c>
      <c r="Q214" s="3" t="s">
        <v>52</v>
      </c>
      <c r="R214" s="3" t="s">
        <v>154</v>
      </c>
      <c r="S214" s="3" t="s">
        <v>2313</v>
      </c>
      <c r="T214" s="3" t="s">
        <v>2233</v>
      </c>
      <c r="U214" s="3" t="s">
        <v>2314</v>
      </c>
      <c r="V214" s="3" t="s">
        <v>2315</v>
      </c>
      <c r="W214" s="3" t="s">
        <v>159</v>
      </c>
      <c r="X214" s="3">
        <f t="shared" si="18"/>
        <v>2</v>
      </c>
      <c r="Y214" s="3" t="s">
        <v>53</v>
      </c>
      <c r="Z214" s="3" t="s">
        <v>53</v>
      </c>
      <c r="AA214" s="3" t="s">
        <v>53</v>
      </c>
      <c r="AB214" s="3" t="str">
        <f t="shared" si="19"/>
        <v>Effective</v>
      </c>
      <c r="AC214" s="3" t="str">
        <f t="shared" si="20"/>
        <v>Low</v>
      </c>
      <c r="AD214" s="3">
        <f t="shared" si="21"/>
        <v>2</v>
      </c>
      <c r="AE214" s="3">
        <f t="shared" si="22"/>
        <v>2</v>
      </c>
      <c r="AF214" s="3" t="s">
        <v>59</v>
      </c>
      <c r="AG214" s="3"/>
      <c r="AH214" s="3"/>
      <c r="AI214" s="3"/>
      <c r="AJ214" s="3"/>
      <c r="AK214" s="3"/>
      <c r="AL214" s="3" t="s">
        <v>60</v>
      </c>
      <c r="AM214" s="3" t="str">
        <f t="shared" si="23"/>
        <v>Should Have</v>
      </c>
    </row>
    <row r="215" spans="1:39" ht="333.5" x14ac:dyDescent="0.35">
      <c r="A215" s="4">
        <v>214</v>
      </c>
      <c r="B215" s="3" t="s">
        <v>39</v>
      </c>
      <c r="C215" s="3" t="s">
        <v>40</v>
      </c>
      <c r="D215" s="3" t="s">
        <v>41</v>
      </c>
      <c r="E215" s="3" t="s">
        <v>41</v>
      </c>
      <c r="F215" s="3" t="s">
        <v>42</v>
      </c>
      <c r="G215" s="3" t="s">
        <v>2224</v>
      </c>
      <c r="H215" s="3" t="s">
        <v>2225</v>
      </c>
      <c r="I215" s="4" t="s">
        <v>2316</v>
      </c>
      <c r="J215" s="3" t="s">
        <v>2317</v>
      </c>
      <c r="K215" s="3" t="s">
        <v>2318</v>
      </c>
      <c r="L215" s="3" t="s">
        <v>2319</v>
      </c>
      <c r="M215" s="3" t="s">
        <v>2320</v>
      </c>
      <c r="N215" s="3" t="s">
        <v>2321</v>
      </c>
      <c r="O215" s="3" t="s">
        <v>2322</v>
      </c>
      <c r="P215" s="3" t="s">
        <v>51</v>
      </c>
      <c r="Q215" s="3" t="s">
        <v>52</v>
      </c>
      <c r="R215" s="3" t="s">
        <v>53</v>
      </c>
      <c r="S215" s="3" t="s">
        <v>2323</v>
      </c>
      <c r="T215" s="3" t="s">
        <v>1958</v>
      </c>
      <c r="U215" s="3" t="s">
        <v>2324</v>
      </c>
      <c r="V215" s="3" t="s">
        <v>2325</v>
      </c>
      <c r="W215" s="3" t="s">
        <v>58</v>
      </c>
      <c r="X215" s="3">
        <f t="shared" si="18"/>
        <v>3</v>
      </c>
      <c r="Y215" s="3" t="s">
        <v>53</v>
      </c>
      <c r="Z215" s="3" t="s">
        <v>53</v>
      </c>
      <c r="AA215" s="3" t="s">
        <v>53</v>
      </c>
      <c r="AB215" s="3" t="str">
        <f t="shared" si="19"/>
        <v>Effective</v>
      </c>
      <c r="AC215" s="3" t="str">
        <f t="shared" si="20"/>
        <v>Low</v>
      </c>
      <c r="AD215" s="3">
        <f t="shared" si="21"/>
        <v>3</v>
      </c>
      <c r="AE215" s="3">
        <f t="shared" si="22"/>
        <v>3</v>
      </c>
      <c r="AF215" s="3" t="s">
        <v>59</v>
      </c>
      <c r="AG215" s="3"/>
      <c r="AH215" s="3"/>
      <c r="AI215" s="3"/>
      <c r="AJ215" s="3"/>
      <c r="AK215" s="3"/>
      <c r="AL215" s="3" t="s">
        <v>60</v>
      </c>
      <c r="AM215" s="3" t="str">
        <f t="shared" si="23"/>
        <v>Must Have</v>
      </c>
    </row>
    <row r="216" spans="1:39" ht="348" x14ac:dyDescent="0.35">
      <c r="A216" s="4">
        <v>215</v>
      </c>
      <c r="B216" s="3" t="s">
        <v>39</v>
      </c>
      <c r="C216" s="3" t="s">
        <v>40</v>
      </c>
      <c r="D216" s="3" t="s">
        <v>41</v>
      </c>
      <c r="E216" s="3" t="s">
        <v>41</v>
      </c>
      <c r="F216" s="3" t="s">
        <v>42</v>
      </c>
      <c r="G216" s="3" t="s">
        <v>2224</v>
      </c>
      <c r="H216" s="3" t="s">
        <v>2225</v>
      </c>
      <c r="I216" s="4" t="s">
        <v>2326</v>
      </c>
      <c r="J216" s="3" t="s">
        <v>2327</v>
      </c>
      <c r="K216" s="3" t="s">
        <v>2328</v>
      </c>
      <c r="L216" s="3" t="s">
        <v>2329</v>
      </c>
      <c r="M216" s="3" t="s">
        <v>2330</v>
      </c>
      <c r="N216" s="3" t="s">
        <v>2331</v>
      </c>
      <c r="O216" s="3" t="s">
        <v>2332</v>
      </c>
      <c r="P216" s="3" t="s">
        <v>51</v>
      </c>
      <c r="Q216" s="3" t="s">
        <v>52</v>
      </c>
      <c r="R216" s="3" t="s">
        <v>53</v>
      </c>
      <c r="S216" s="3" t="s">
        <v>2333</v>
      </c>
      <c r="T216" s="3" t="s">
        <v>68</v>
      </c>
      <c r="U216" s="3" t="s">
        <v>2334</v>
      </c>
      <c r="V216" s="3" t="s">
        <v>2335</v>
      </c>
      <c r="W216" s="3" t="s">
        <v>58</v>
      </c>
      <c r="X216" s="3">
        <f t="shared" si="18"/>
        <v>3</v>
      </c>
      <c r="Y216" s="3" t="s">
        <v>53</v>
      </c>
      <c r="Z216" s="3" t="s">
        <v>53</v>
      </c>
      <c r="AA216" s="3" t="s">
        <v>53</v>
      </c>
      <c r="AB216" s="3" t="str">
        <f t="shared" si="19"/>
        <v>Effective</v>
      </c>
      <c r="AC216" s="3" t="str">
        <f t="shared" si="20"/>
        <v>Low</v>
      </c>
      <c r="AD216" s="3">
        <f t="shared" si="21"/>
        <v>3</v>
      </c>
      <c r="AE216" s="3">
        <f t="shared" si="22"/>
        <v>3</v>
      </c>
      <c r="AF216" s="3" t="s">
        <v>59</v>
      </c>
      <c r="AG216" s="3"/>
      <c r="AH216" s="3"/>
      <c r="AI216" s="3"/>
      <c r="AJ216" s="3"/>
      <c r="AK216" s="3"/>
      <c r="AL216" s="3" t="s">
        <v>60</v>
      </c>
      <c r="AM216" s="3" t="str">
        <f t="shared" si="23"/>
        <v>Must Have</v>
      </c>
    </row>
    <row r="217" spans="1:39" ht="362.5" x14ac:dyDescent="0.35">
      <c r="A217" s="4">
        <v>216</v>
      </c>
      <c r="B217" s="3" t="s">
        <v>39</v>
      </c>
      <c r="C217" s="3" t="s">
        <v>40</v>
      </c>
      <c r="D217" s="3" t="s">
        <v>41</v>
      </c>
      <c r="E217" s="3" t="s">
        <v>41</v>
      </c>
      <c r="F217" s="3" t="s">
        <v>42</v>
      </c>
      <c r="G217" s="3" t="s">
        <v>2224</v>
      </c>
      <c r="H217" s="3" t="s">
        <v>2225</v>
      </c>
      <c r="I217" s="4" t="s">
        <v>2336</v>
      </c>
      <c r="J217" s="3" t="s">
        <v>2337</v>
      </c>
      <c r="K217" s="3" t="s">
        <v>2338</v>
      </c>
      <c r="L217" s="3" t="s">
        <v>2339</v>
      </c>
      <c r="M217" s="3" t="s">
        <v>2340</v>
      </c>
      <c r="N217" s="3" t="s">
        <v>2341</v>
      </c>
      <c r="O217" s="3" t="s">
        <v>2342</v>
      </c>
      <c r="P217" s="3" t="s">
        <v>51</v>
      </c>
      <c r="Q217" s="3" t="s">
        <v>52</v>
      </c>
      <c r="R217" s="3" t="s">
        <v>53</v>
      </c>
      <c r="S217" s="3" t="s">
        <v>2343</v>
      </c>
      <c r="T217" s="3" t="s">
        <v>108</v>
      </c>
      <c r="U217" s="3" t="s">
        <v>2344</v>
      </c>
      <c r="V217" s="3" t="s">
        <v>2345</v>
      </c>
      <c r="W217" s="3" t="s">
        <v>58</v>
      </c>
      <c r="X217" s="3">
        <f t="shared" si="18"/>
        <v>3</v>
      </c>
      <c r="Y217" s="3" t="s">
        <v>53</v>
      </c>
      <c r="Z217" s="3" t="s">
        <v>53</v>
      </c>
      <c r="AA217" s="3" t="s">
        <v>53</v>
      </c>
      <c r="AB217" s="3" t="str">
        <f t="shared" si="19"/>
        <v>Effective</v>
      </c>
      <c r="AC217" s="3" t="str">
        <f t="shared" si="20"/>
        <v>Low</v>
      </c>
      <c r="AD217" s="3">
        <f t="shared" si="21"/>
        <v>3</v>
      </c>
      <c r="AE217" s="3">
        <f t="shared" si="22"/>
        <v>3</v>
      </c>
      <c r="AF217" s="3" t="s">
        <v>59</v>
      </c>
      <c r="AG217" s="3"/>
      <c r="AH217" s="3"/>
      <c r="AI217" s="3"/>
      <c r="AJ217" s="3"/>
      <c r="AK217" s="3"/>
      <c r="AL217" s="3" t="s">
        <v>60</v>
      </c>
      <c r="AM217" s="3" t="str">
        <f t="shared" si="23"/>
        <v>Must Have</v>
      </c>
    </row>
    <row r="218" spans="1:39" ht="348" x14ac:dyDescent="0.35">
      <c r="A218" s="4">
        <v>217</v>
      </c>
      <c r="B218" s="3" t="s">
        <v>39</v>
      </c>
      <c r="C218" s="3" t="s">
        <v>40</v>
      </c>
      <c r="D218" s="3" t="s">
        <v>41</v>
      </c>
      <c r="E218" s="3" t="s">
        <v>41</v>
      </c>
      <c r="F218" s="3" t="s">
        <v>42</v>
      </c>
      <c r="G218" s="3" t="s">
        <v>2224</v>
      </c>
      <c r="H218" s="3" t="s">
        <v>2225</v>
      </c>
      <c r="I218" s="4" t="s">
        <v>2346</v>
      </c>
      <c r="J218" s="3" t="s">
        <v>2347</v>
      </c>
      <c r="K218" s="3" t="s">
        <v>2348</v>
      </c>
      <c r="L218" s="3" t="s">
        <v>2349</v>
      </c>
      <c r="M218" s="3" t="s">
        <v>2350</v>
      </c>
      <c r="N218" s="3" t="s">
        <v>2351</v>
      </c>
      <c r="O218" s="3" t="s">
        <v>2352</v>
      </c>
      <c r="P218" s="3" t="s">
        <v>51</v>
      </c>
      <c r="Q218" s="3" t="s">
        <v>52</v>
      </c>
      <c r="R218" s="3" t="s">
        <v>53</v>
      </c>
      <c r="S218" s="3" t="s">
        <v>2353</v>
      </c>
      <c r="T218" s="3" t="s">
        <v>68</v>
      </c>
      <c r="U218" s="3" t="s">
        <v>2354</v>
      </c>
      <c r="V218" s="3" t="s">
        <v>2355</v>
      </c>
      <c r="W218" s="3" t="s">
        <v>58</v>
      </c>
      <c r="X218" s="3">
        <f t="shared" si="18"/>
        <v>3</v>
      </c>
      <c r="Y218" s="3" t="s">
        <v>53</v>
      </c>
      <c r="Z218" s="3" t="s">
        <v>53</v>
      </c>
      <c r="AA218" s="3" t="s">
        <v>53</v>
      </c>
      <c r="AB218" s="3" t="str">
        <f t="shared" si="19"/>
        <v>Effective</v>
      </c>
      <c r="AC218" s="3" t="str">
        <f t="shared" si="20"/>
        <v>Low</v>
      </c>
      <c r="AD218" s="3">
        <f t="shared" si="21"/>
        <v>3</v>
      </c>
      <c r="AE218" s="3">
        <f t="shared" si="22"/>
        <v>3</v>
      </c>
      <c r="AF218" s="3" t="s">
        <v>59</v>
      </c>
      <c r="AG218" s="3"/>
      <c r="AH218" s="3"/>
      <c r="AI218" s="3"/>
      <c r="AJ218" s="3"/>
      <c r="AK218" s="3"/>
      <c r="AL218" s="3" t="s">
        <v>60</v>
      </c>
      <c r="AM218" s="3" t="str">
        <f t="shared" si="23"/>
        <v>Must Have</v>
      </c>
    </row>
    <row r="219" spans="1:39" ht="319" x14ac:dyDescent="0.35">
      <c r="A219" s="4">
        <v>218</v>
      </c>
      <c r="B219" s="3" t="s">
        <v>39</v>
      </c>
      <c r="C219" s="3" t="s">
        <v>40</v>
      </c>
      <c r="D219" s="3" t="s">
        <v>41</v>
      </c>
      <c r="E219" s="3" t="s">
        <v>41</v>
      </c>
      <c r="F219" s="3" t="s">
        <v>42</v>
      </c>
      <c r="G219" s="3" t="s">
        <v>2224</v>
      </c>
      <c r="H219" s="3" t="s">
        <v>2225</v>
      </c>
      <c r="I219" s="4" t="s">
        <v>2356</v>
      </c>
      <c r="J219" s="3" t="s">
        <v>2357</v>
      </c>
      <c r="K219" s="3" t="s">
        <v>2358</v>
      </c>
      <c r="L219" s="3" t="s">
        <v>2359</v>
      </c>
      <c r="M219" s="3" t="s">
        <v>2360</v>
      </c>
      <c r="N219" s="3" t="s">
        <v>2361</v>
      </c>
      <c r="O219" s="3" t="s">
        <v>2362</v>
      </c>
      <c r="P219" s="3" t="s">
        <v>51</v>
      </c>
      <c r="Q219" s="3" t="s">
        <v>153</v>
      </c>
      <c r="R219" s="3" t="s">
        <v>154</v>
      </c>
      <c r="S219" s="3" t="s">
        <v>2303</v>
      </c>
      <c r="T219" s="3" t="s">
        <v>68</v>
      </c>
      <c r="U219" s="3" t="s">
        <v>2363</v>
      </c>
      <c r="V219" s="3" t="s">
        <v>2305</v>
      </c>
      <c r="W219" s="3" t="s">
        <v>2364</v>
      </c>
      <c r="X219" s="3">
        <f t="shared" si="18"/>
        <v>1</v>
      </c>
      <c r="Y219" s="3" t="s">
        <v>53</v>
      </c>
      <c r="Z219" s="3" t="s">
        <v>53</v>
      </c>
      <c r="AA219" s="3" t="s">
        <v>53</v>
      </c>
      <c r="AB219" s="3" t="str">
        <f t="shared" si="19"/>
        <v>Effective</v>
      </c>
      <c r="AC219" s="3" t="str">
        <f t="shared" si="20"/>
        <v>Low</v>
      </c>
      <c r="AD219" s="3">
        <f t="shared" si="21"/>
        <v>1</v>
      </c>
      <c r="AE219" s="3">
        <f t="shared" si="22"/>
        <v>1</v>
      </c>
      <c r="AF219" s="3" t="s">
        <v>59</v>
      </c>
      <c r="AG219" s="3"/>
      <c r="AH219" s="3"/>
      <c r="AI219" s="3"/>
      <c r="AJ219" s="3"/>
      <c r="AK219" s="3"/>
      <c r="AL219" s="3" t="s">
        <v>60</v>
      </c>
      <c r="AM219" s="3" t="str">
        <f t="shared" si="23"/>
        <v>Should Have</v>
      </c>
    </row>
    <row r="220" spans="1:39" ht="348" x14ac:dyDescent="0.35">
      <c r="A220" s="4">
        <v>219</v>
      </c>
      <c r="B220" s="3" t="s">
        <v>39</v>
      </c>
      <c r="C220" s="3" t="s">
        <v>2365</v>
      </c>
      <c r="D220" s="3" t="s">
        <v>365</v>
      </c>
      <c r="E220" s="3" t="s">
        <v>2366</v>
      </c>
      <c r="F220" s="3" t="s">
        <v>42</v>
      </c>
      <c r="G220" s="3" t="s">
        <v>2224</v>
      </c>
      <c r="H220" s="3" t="s">
        <v>2367</v>
      </c>
      <c r="I220" s="4" t="s">
        <v>2368</v>
      </c>
      <c r="J220" s="3" t="s">
        <v>2369</v>
      </c>
      <c r="K220" s="3" t="s">
        <v>2370</v>
      </c>
      <c r="L220" s="3" t="s">
        <v>2371</v>
      </c>
      <c r="M220" s="3" t="s">
        <v>2372</v>
      </c>
      <c r="N220" s="3" t="s">
        <v>2373</v>
      </c>
      <c r="O220" s="3" t="s">
        <v>2374</v>
      </c>
      <c r="P220" s="3" t="s">
        <v>51</v>
      </c>
      <c r="Q220" s="3" t="s">
        <v>52</v>
      </c>
      <c r="R220" s="3" t="s">
        <v>53</v>
      </c>
      <c r="S220" s="3" t="s">
        <v>2375</v>
      </c>
      <c r="T220" s="3" t="s">
        <v>2233</v>
      </c>
      <c r="U220" s="3" t="s">
        <v>2376</v>
      </c>
      <c r="V220" s="3" t="s">
        <v>2377</v>
      </c>
      <c r="W220" s="3" t="s">
        <v>58</v>
      </c>
      <c r="X220" s="3">
        <f t="shared" si="18"/>
        <v>3</v>
      </c>
      <c r="Y220" s="3" t="s">
        <v>53</v>
      </c>
      <c r="Z220" s="3" t="s">
        <v>53</v>
      </c>
      <c r="AA220" s="3" t="s">
        <v>53</v>
      </c>
      <c r="AB220" s="3" t="str">
        <f t="shared" si="19"/>
        <v>Effective</v>
      </c>
      <c r="AC220" s="3" t="str">
        <f t="shared" si="20"/>
        <v>Low</v>
      </c>
      <c r="AD220" s="3">
        <f t="shared" si="21"/>
        <v>3</v>
      </c>
      <c r="AE220" s="3">
        <f t="shared" si="22"/>
        <v>3</v>
      </c>
      <c r="AF220" s="3" t="s">
        <v>59</v>
      </c>
      <c r="AG220" s="3"/>
      <c r="AH220" s="3"/>
      <c r="AI220" s="3"/>
      <c r="AJ220" s="3"/>
      <c r="AK220" s="3"/>
      <c r="AL220" s="3" t="s">
        <v>60</v>
      </c>
      <c r="AM220" s="3" t="str">
        <f t="shared" si="23"/>
        <v>Must Have</v>
      </c>
    </row>
    <row r="221" spans="1:39" ht="333.5" x14ac:dyDescent="0.35">
      <c r="A221" s="4">
        <v>220</v>
      </c>
      <c r="B221" s="3" t="s">
        <v>39</v>
      </c>
      <c r="C221" s="3" t="s">
        <v>2365</v>
      </c>
      <c r="D221" s="3" t="s">
        <v>365</v>
      </c>
      <c r="E221" s="3" t="s">
        <v>2366</v>
      </c>
      <c r="F221" s="3" t="s">
        <v>42</v>
      </c>
      <c r="G221" s="3" t="s">
        <v>2224</v>
      </c>
      <c r="H221" s="3" t="s">
        <v>2367</v>
      </c>
      <c r="I221" s="4" t="s">
        <v>2378</v>
      </c>
      <c r="J221" s="3" t="s">
        <v>2379</v>
      </c>
      <c r="K221" s="3" t="s">
        <v>2380</v>
      </c>
      <c r="L221" s="3" t="s">
        <v>2381</v>
      </c>
      <c r="M221" s="3" t="s">
        <v>2382</v>
      </c>
      <c r="N221" s="3" t="s">
        <v>2383</v>
      </c>
      <c r="O221" s="3" t="s">
        <v>2384</v>
      </c>
      <c r="P221" s="3" t="s">
        <v>51</v>
      </c>
      <c r="Q221" s="3" t="s">
        <v>52</v>
      </c>
      <c r="R221" s="3" t="s">
        <v>53</v>
      </c>
      <c r="S221" s="3" t="s">
        <v>996</v>
      </c>
      <c r="T221" s="3" t="s">
        <v>1958</v>
      </c>
      <c r="U221" s="3" t="s">
        <v>2385</v>
      </c>
      <c r="V221" s="3" t="s">
        <v>2386</v>
      </c>
      <c r="W221" s="3" t="s">
        <v>58</v>
      </c>
      <c r="X221" s="3">
        <f t="shared" si="18"/>
        <v>3</v>
      </c>
      <c r="Y221" s="3" t="s">
        <v>53</v>
      </c>
      <c r="Z221" s="3" t="s">
        <v>53</v>
      </c>
      <c r="AA221" s="3" t="s">
        <v>53</v>
      </c>
      <c r="AB221" s="3" t="str">
        <f t="shared" si="19"/>
        <v>Effective</v>
      </c>
      <c r="AC221" s="3" t="str">
        <f t="shared" si="20"/>
        <v>Low</v>
      </c>
      <c r="AD221" s="3">
        <f t="shared" si="21"/>
        <v>3</v>
      </c>
      <c r="AE221" s="3">
        <f t="shared" si="22"/>
        <v>3</v>
      </c>
      <c r="AF221" s="3" t="s">
        <v>59</v>
      </c>
      <c r="AG221" s="3"/>
      <c r="AH221" s="3"/>
      <c r="AI221" s="3"/>
      <c r="AJ221" s="3"/>
      <c r="AK221" s="3"/>
      <c r="AL221" s="3" t="s">
        <v>60</v>
      </c>
      <c r="AM221" s="3" t="str">
        <f t="shared" si="23"/>
        <v>Must Have</v>
      </c>
    </row>
    <row r="222" spans="1:39" ht="333.5" x14ac:dyDescent="0.35">
      <c r="A222" s="4">
        <v>221</v>
      </c>
      <c r="B222" s="3" t="s">
        <v>39</v>
      </c>
      <c r="C222" s="3" t="s">
        <v>2365</v>
      </c>
      <c r="D222" s="3" t="s">
        <v>365</v>
      </c>
      <c r="E222" s="3" t="s">
        <v>2366</v>
      </c>
      <c r="F222" s="3" t="s">
        <v>42</v>
      </c>
      <c r="G222" s="3" t="s">
        <v>2224</v>
      </c>
      <c r="H222" s="3" t="s">
        <v>2367</v>
      </c>
      <c r="I222" s="4" t="s">
        <v>2387</v>
      </c>
      <c r="J222" s="3" t="s">
        <v>2388</v>
      </c>
      <c r="K222" s="3" t="s">
        <v>2389</v>
      </c>
      <c r="L222" s="3" t="s">
        <v>2390</v>
      </c>
      <c r="M222" s="3" t="s">
        <v>2391</v>
      </c>
      <c r="N222" s="3" t="s">
        <v>2392</v>
      </c>
      <c r="O222" s="3" t="s">
        <v>2393</v>
      </c>
      <c r="P222" s="3" t="s">
        <v>122</v>
      </c>
      <c r="Q222" s="3" t="s">
        <v>52</v>
      </c>
      <c r="R222" s="3" t="s">
        <v>53</v>
      </c>
      <c r="S222" s="3" t="s">
        <v>2394</v>
      </c>
      <c r="T222" s="3" t="s">
        <v>108</v>
      </c>
      <c r="U222" s="3" t="s">
        <v>2395</v>
      </c>
      <c r="V222" s="3" t="s">
        <v>2396</v>
      </c>
      <c r="W222" s="3" t="s">
        <v>58</v>
      </c>
      <c r="X222" s="3">
        <f t="shared" si="18"/>
        <v>3</v>
      </c>
      <c r="Y222" s="3" t="s">
        <v>53</v>
      </c>
      <c r="Z222" s="3" t="s">
        <v>53</v>
      </c>
      <c r="AA222" s="3" t="s">
        <v>53</v>
      </c>
      <c r="AB222" s="3" t="str">
        <f t="shared" si="19"/>
        <v>Effective</v>
      </c>
      <c r="AC222" s="3" t="str">
        <f t="shared" si="20"/>
        <v>Low</v>
      </c>
      <c r="AD222" s="3">
        <f t="shared" si="21"/>
        <v>3</v>
      </c>
      <c r="AE222" s="3">
        <f t="shared" si="22"/>
        <v>3</v>
      </c>
      <c r="AF222" s="3" t="s">
        <v>59</v>
      </c>
      <c r="AG222" s="3"/>
      <c r="AH222" s="3"/>
      <c r="AI222" s="3"/>
      <c r="AJ222" s="3"/>
      <c r="AK222" s="3"/>
      <c r="AL222" s="3" t="s">
        <v>60</v>
      </c>
      <c r="AM222" s="3" t="str">
        <f t="shared" si="23"/>
        <v>Must Have</v>
      </c>
    </row>
    <row r="223" spans="1:39" ht="333.5" x14ac:dyDescent="0.35">
      <c r="A223" s="4">
        <v>222</v>
      </c>
      <c r="B223" s="3" t="s">
        <v>39</v>
      </c>
      <c r="C223" s="3" t="s">
        <v>2365</v>
      </c>
      <c r="D223" s="3" t="s">
        <v>365</v>
      </c>
      <c r="E223" s="3" t="s">
        <v>2366</v>
      </c>
      <c r="F223" s="3" t="s">
        <v>42</v>
      </c>
      <c r="G223" s="3" t="s">
        <v>2224</v>
      </c>
      <c r="H223" s="3" t="s">
        <v>2367</v>
      </c>
      <c r="I223" s="4" t="s">
        <v>2397</v>
      </c>
      <c r="J223" s="3" t="s">
        <v>2398</v>
      </c>
      <c r="K223" s="3" t="s">
        <v>2399</v>
      </c>
      <c r="L223" s="3" t="s">
        <v>2400</v>
      </c>
      <c r="M223" s="3" t="s">
        <v>2401</v>
      </c>
      <c r="N223" s="3" t="s">
        <v>2402</v>
      </c>
      <c r="O223" s="3" t="s">
        <v>2403</v>
      </c>
      <c r="P223" s="3" t="s">
        <v>51</v>
      </c>
      <c r="Q223" s="3" t="s">
        <v>52</v>
      </c>
      <c r="R223" s="3" t="s">
        <v>53</v>
      </c>
      <c r="S223" s="3" t="s">
        <v>2154</v>
      </c>
      <c r="T223" s="3" t="s">
        <v>2404</v>
      </c>
      <c r="U223" s="3" t="s">
        <v>2405</v>
      </c>
      <c r="V223" s="3" t="s">
        <v>2406</v>
      </c>
      <c r="W223" s="3" t="s">
        <v>58</v>
      </c>
      <c r="X223" s="3">
        <f t="shared" si="18"/>
        <v>3</v>
      </c>
      <c r="Y223" s="3" t="s">
        <v>53</v>
      </c>
      <c r="Z223" s="3" t="s">
        <v>53</v>
      </c>
      <c r="AA223" s="3" t="s">
        <v>53</v>
      </c>
      <c r="AB223" s="3" t="str">
        <f t="shared" si="19"/>
        <v>Effective</v>
      </c>
      <c r="AC223" s="3" t="str">
        <f t="shared" si="20"/>
        <v>Low</v>
      </c>
      <c r="AD223" s="3">
        <f t="shared" si="21"/>
        <v>3</v>
      </c>
      <c r="AE223" s="3">
        <f t="shared" si="22"/>
        <v>3</v>
      </c>
      <c r="AF223" s="3" t="s">
        <v>59</v>
      </c>
      <c r="AG223" s="3"/>
      <c r="AH223" s="3"/>
      <c r="AI223" s="3"/>
      <c r="AJ223" s="3"/>
      <c r="AK223" s="3"/>
      <c r="AL223" s="3" t="s">
        <v>60</v>
      </c>
      <c r="AM223" s="3" t="str">
        <f t="shared" si="23"/>
        <v>Must Have</v>
      </c>
    </row>
    <row r="224" spans="1:39" ht="348" x14ac:dyDescent="0.35">
      <c r="A224" s="4">
        <v>223</v>
      </c>
      <c r="B224" s="3" t="s">
        <v>39</v>
      </c>
      <c r="C224" s="3" t="s">
        <v>2365</v>
      </c>
      <c r="D224" s="3" t="s">
        <v>365</v>
      </c>
      <c r="E224" s="3" t="s">
        <v>2366</v>
      </c>
      <c r="F224" s="3" t="s">
        <v>42</v>
      </c>
      <c r="G224" s="3" t="s">
        <v>2224</v>
      </c>
      <c r="H224" s="3" t="s">
        <v>2367</v>
      </c>
      <c r="I224" s="4" t="s">
        <v>2407</v>
      </c>
      <c r="J224" s="3" t="s">
        <v>2408</v>
      </c>
      <c r="K224" s="3" t="s">
        <v>2409</v>
      </c>
      <c r="L224" s="3" t="s">
        <v>2410</v>
      </c>
      <c r="M224" s="3" t="s">
        <v>2411</v>
      </c>
      <c r="N224" s="3" t="s">
        <v>2412</v>
      </c>
      <c r="O224" s="3" t="s">
        <v>2413</v>
      </c>
      <c r="P224" s="3" t="s">
        <v>51</v>
      </c>
      <c r="Q224" s="3" t="s">
        <v>52</v>
      </c>
      <c r="R224" s="3" t="s">
        <v>53</v>
      </c>
      <c r="S224" s="3" t="s">
        <v>2414</v>
      </c>
      <c r="T224" s="3" t="s">
        <v>68</v>
      </c>
      <c r="U224" s="3" t="s">
        <v>2415</v>
      </c>
      <c r="V224" s="3" t="s">
        <v>2416</v>
      </c>
      <c r="W224" s="3" t="s">
        <v>58</v>
      </c>
      <c r="X224" s="3">
        <f t="shared" si="18"/>
        <v>3</v>
      </c>
      <c r="Y224" s="3" t="s">
        <v>53</v>
      </c>
      <c r="Z224" s="3" t="s">
        <v>53</v>
      </c>
      <c r="AA224" s="3" t="s">
        <v>53</v>
      </c>
      <c r="AB224" s="3" t="str">
        <f t="shared" si="19"/>
        <v>Effective</v>
      </c>
      <c r="AC224" s="3" t="str">
        <f t="shared" si="20"/>
        <v>Low</v>
      </c>
      <c r="AD224" s="3">
        <f t="shared" si="21"/>
        <v>3</v>
      </c>
      <c r="AE224" s="3">
        <f t="shared" si="22"/>
        <v>3</v>
      </c>
      <c r="AF224" s="3" t="s">
        <v>59</v>
      </c>
      <c r="AG224" s="3"/>
      <c r="AH224" s="3"/>
      <c r="AI224" s="3"/>
      <c r="AJ224" s="3"/>
      <c r="AK224" s="3"/>
      <c r="AL224" s="3" t="s">
        <v>60</v>
      </c>
      <c r="AM224" s="3" t="str">
        <f t="shared" si="23"/>
        <v>Must Have</v>
      </c>
    </row>
    <row r="225" spans="1:39" ht="333.5" x14ac:dyDescent="0.35">
      <c r="A225" s="4">
        <v>224</v>
      </c>
      <c r="B225" s="3" t="s">
        <v>39</v>
      </c>
      <c r="C225" s="3" t="s">
        <v>2365</v>
      </c>
      <c r="D225" s="3" t="s">
        <v>365</v>
      </c>
      <c r="E225" s="3" t="s">
        <v>2366</v>
      </c>
      <c r="F225" s="3" t="s">
        <v>114</v>
      </c>
      <c r="G225" s="3" t="s">
        <v>2224</v>
      </c>
      <c r="H225" s="3" t="s">
        <v>2367</v>
      </c>
      <c r="I225" s="4" t="s">
        <v>2417</v>
      </c>
      <c r="J225" s="3" t="s">
        <v>2418</v>
      </c>
      <c r="K225" s="3" t="s">
        <v>2419</v>
      </c>
      <c r="L225" s="3" t="s">
        <v>2420</v>
      </c>
      <c r="M225" s="3" t="s">
        <v>2421</v>
      </c>
      <c r="N225" s="3" t="s">
        <v>2422</v>
      </c>
      <c r="O225" s="3" t="s">
        <v>2423</v>
      </c>
      <c r="P225" s="3" t="s">
        <v>122</v>
      </c>
      <c r="Q225" s="3" t="s">
        <v>52</v>
      </c>
      <c r="R225" s="3" t="s">
        <v>53</v>
      </c>
      <c r="S225" s="3" t="s">
        <v>2424</v>
      </c>
      <c r="T225" s="3" t="s">
        <v>108</v>
      </c>
      <c r="U225" s="3" t="s">
        <v>2425</v>
      </c>
      <c r="V225" s="3" t="s">
        <v>2426</v>
      </c>
      <c r="W225" s="3" t="s">
        <v>58</v>
      </c>
      <c r="X225" s="3">
        <f t="shared" si="18"/>
        <v>3</v>
      </c>
      <c r="Y225" s="3" t="s">
        <v>53</v>
      </c>
      <c r="Z225" s="3" t="s">
        <v>53</v>
      </c>
      <c r="AA225" s="3" t="s">
        <v>53</v>
      </c>
      <c r="AB225" s="3" t="str">
        <f t="shared" si="19"/>
        <v>Effective</v>
      </c>
      <c r="AC225" s="3" t="str">
        <f t="shared" si="20"/>
        <v>Low</v>
      </c>
      <c r="AD225" s="3">
        <f t="shared" si="21"/>
        <v>3</v>
      </c>
      <c r="AE225" s="3">
        <f t="shared" si="22"/>
        <v>3</v>
      </c>
      <c r="AF225" s="3" t="s">
        <v>59</v>
      </c>
      <c r="AG225" s="3"/>
      <c r="AH225" s="3"/>
      <c r="AI225" s="3"/>
      <c r="AJ225" s="3"/>
      <c r="AK225" s="3"/>
      <c r="AL225" s="3" t="s">
        <v>60</v>
      </c>
      <c r="AM225" s="3" t="str">
        <f t="shared" si="23"/>
        <v>Must Have</v>
      </c>
    </row>
    <row r="226" spans="1:39" ht="333.5" x14ac:dyDescent="0.35">
      <c r="A226" s="4">
        <v>225</v>
      </c>
      <c r="B226" s="3" t="s">
        <v>39</v>
      </c>
      <c r="C226" s="3" t="s">
        <v>2365</v>
      </c>
      <c r="D226" s="3" t="s">
        <v>365</v>
      </c>
      <c r="E226" s="3" t="s">
        <v>2366</v>
      </c>
      <c r="F226" s="3" t="s">
        <v>42</v>
      </c>
      <c r="G226" s="3" t="s">
        <v>2224</v>
      </c>
      <c r="H226" s="3" t="s">
        <v>2367</v>
      </c>
      <c r="I226" s="4" t="s">
        <v>2427</v>
      </c>
      <c r="J226" s="3" t="s">
        <v>2428</v>
      </c>
      <c r="K226" s="3" t="s">
        <v>2429</v>
      </c>
      <c r="L226" s="3" t="s">
        <v>2430</v>
      </c>
      <c r="M226" s="3" t="s">
        <v>2431</v>
      </c>
      <c r="N226" s="3" t="s">
        <v>2432</v>
      </c>
      <c r="O226" s="3" t="s">
        <v>2433</v>
      </c>
      <c r="P226" s="3" t="s">
        <v>122</v>
      </c>
      <c r="Q226" s="3" t="s">
        <v>323</v>
      </c>
      <c r="R226" s="3" t="s">
        <v>53</v>
      </c>
      <c r="S226" s="3" t="s">
        <v>2434</v>
      </c>
      <c r="T226" s="3" t="s">
        <v>108</v>
      </c>
      <c r="U226" s="3" t="s">
        <v>2435</v>
      </c>
      <c r="V226" s="3" t="s">
        <v>2436</v>
      </c>
      <c r="W226" s="3" t="s">
        <v>58</v>
      </c>
      <c r="X226" s="3">
        <f t="shared" si="18"/>
        <v>3</v>
      </c>
      <c r="Y226" s="3" t="s">
        <v>53</v>
      </c>
      <c r="Z226" s="3" t="s">
        <v>53</v>
      </c>
      <c r="AA226" s="3" t="s">
        <v>53</v>
      </c>
      <c r="AB226" s="3" t="str">
        <f t="shared" si="19"/>
        <v>Effective</v>
      </c>
      <c r="AC226" s="3" t="str">
        <f t="shared" si="20"/>
        <v>Low</v>
      </c>
      <c r="AD226" s="3">
        <f t="shared" si="21"/>
        <v>3</v>
      </c>
      <c r="AE226" s="3">
        <f t="shared" si="22"/>
        <v>3</v>
      </c>
      <c r="AF226" s="3" t="s">
        <v>59</v>
      </c>
      <c r="AG226" s="3"/>
      <c r="AH226" s="3"/>
      <c r="AI226" s="3"/>
      <c r="AJ226" s="3"/>
      <c r="AK226" s="3"/>
      <c r="AL226" s="3" t="s">
        <v>60</v>
      </c>
      <c r="AM226" s="3" t="str">
        <f t="shared" si="23"/>
        <v>Must Have</v>
      </c>
    </row>
    <row r="227" spans="1:39" ht="348" x14ac:dyDescent="0.35">
      <c r="A227" s="4">
        <v>226</v>
      </c>
      <c r="B227" s="3" t="s">
        <v>39</v>
      </c>
      <c r="C227" s="3" t="s">
        <v>2365</v>
      </c>
      <c r="D227" s="3" t="s">
        <v>365</v>
      </c>
      <c r="E227" s="3" t="s">
        <v>2366</v>
      </c>
      <c r="F227" s="3" t="s">
        <v>114</v>
      </c>
      <c r="G227" s="3" t="s">
        <v>2224</v>
      </c>
      <c r="H227" s="3" t="s">
        <v>2367</v>
      </c>
      <c r="I227" s="4" t="s">
        <v>2437</v>
      </c>
      <c r="J227" s="3" t="s">
        <v>2438</v>
      </c>
      <c r="K227" s="3" t="s">
        <v>2439</v>
      </c>
      <c r="L227" s="3" t="s">
        <v>2440</v>
      </c>
      <c r="M227" s="3" t="s">
        <v>2441</v>
      </c>
      <c r="N227" s="3" t="s">
        <v>2442</v>
      </c>
      <c r="O227" s="3" t="s">
        <v>2443</v>
      </c>
      <c r="P227" s="3" t="s">
        <v>122</v>
      </c>
      <c r="Q227" s="3" t="s">
        <v>52</v>
      </c>
      <c r="R227" s="3" t="s">
        <v>53</v>
      </c>
      <c r="S227" s="3" t="s">
        <v>2444</v>
      </c>
      <c r="T227" s="3" t="s">
        <v>108</v>
      </c>
      <c r="U227" s="3" t="s">
        <v>2445</v>
      </c>
      <c r="V227" s="3" t="s">
        <v>2446</v>
      </c>
      <c r="W227" s="3" t="s">
        <v>58</v>
      </c>
      <c r="X227" s="3">
        <f t="shared" si="18"/>
        <v>3</v>
      </c>
      <c r="Y227" s="3" t="s">
        <v>53</v>
      </c>
      <c r="Z227" s="3" t="s">
        <v>53</v>
      </c>
      <c r="AA227" s="3" t="s">
        <v>53</v>
      </c>
      <c r="AB227" s="3" t="str">
        <f t="shared" si="19"/>
        <v>Effective</v>
      </c>
      <c r="AC227" s="3" t="str">
        <f t="shared" si="20"/>
        <v>Low</v>
      </c>
      <c r="AD227" s="3">
        <f t="shared" si="21"/>
        <v>3</v>
      </c>
      <c r="AE227" s="3">
        <f t="shared" si="22"/>
        <v>3</v>
      </c>
      <c r="AF227" s="3" t="s">
        <v>59</v>
      </c>
      <c r="AG227" s="3"/>
      <c r="AH227" s="3"/>
      <c r="AI227" s="3"/>
      <c r="AJ227" s="3"/>
      <c r="AK227" s="3"/>
      <c r="AL227" s="3" t="s">
        <v>60</v>
      </c>
      <c r="AM227" s="3" t="str">
        <f t="shared" si="23"/>
        <v>Must Have</v>
      </c>
    </row>
    <row r="228" spans="1:39" ht="333.5" x14ac:dyDescent="0.35">
      <c r="A228" s="4">
        <v>227</v>
      </c>
      <c r="B228" s="3" t="s">
        <v>39</v>
      </c>
      <c r="C228" s="3" t="s">
        <v>2365</v>
      </c>
      <c r="D228" s="3" t="s">
        <v>365</v>
      </c>
      <c r="E228" s="3" t="s">
        <v>2366</v>
      </c>
      <c r="F228" s="3" t="s">
        <v>527</v>
      </c>
      <c r="G228" s="3" t="s">
        <v>2224</v>
      </c>
      <c r="H228" s="3" t="s">
        <v>2367</v>
      </c>
      <c r="I228" s="4" t="s">
        <v>2447</v>
      </c>
      <c r="J228" s="3" t="s">
        <v>2448</v>
      </c>
      <c r="K228" s="3" t="s">
        <v>2449</v>
      </c>
      <c r="L228" s="3" t="s">
        <v>2450</v>
      </c>
      <c r="M228" s="3" t="s">
        <v>2451</v>
      </c>
      <c r="N228" s="3" t="s">
        <v>2452</v>
      </c>
      <c r="O228" s="3" t="s">
        <v>2453</v>
      </c>
      <c r="P228" s="3" t="s">
        <v>206</v>
      </c>
      <c r="Q228" s="3" t="s">
        <v>52</v>
      </c>
      <c r="R228" s="3" t="s">
        <v>53</v>
      </c>
      <c r="S228" s="3" t="s">
        <v>2454</v>
      </c>
      <c r="T228" s="3" t="s">
        <v>1139</v>
      </c>
      <c r="U228" s="3" t="s">
        <v>2455</v>
      </c>
      <c r="V228" s="3" t="s">
        <v>2456</v>
      </c>
      <c r="W228" s="3" t="s">
        <v>58</v>
      </c>
      <c r="X228" s="3">
        <f t="shared" si="18"/>
        <v>3</v>
      </c>
      <c r="Y228" s="3" t="s">
        <v>53</v>
      </c>
      <c r="Z228" s="3" t="s">
        <v>53</v>
      </c>
      <c r="AA228" s="3" t="s">
        <v>53</v>
      </c>
      <c r="AB228" s="3" t="str">
        <f t="shared" si="19"/>
        <v>Effective</v>
      </c>
      <c r="AC228" s="3" t="str">
        <f t="shared" si="20"/>
        <v>Low</v>
      </c>
      <c r="AD228" s="3">
        <f t="shared" si="21"/>
        <v>3</v>
      </c>
      <c r="AE228" s="3">
        <f t="shared" si="22"/>
        <v>3</v>
      </c>
      <c r="AF228" s="3" t="s">
        <v>59</v>
      </c>
      <c r="AG228" s="3"/>
      <c r="AH228" s="3"/>
      <c r="AI228" s="3"/>
      <c r="AJ228" s="3"/>
      <c r="AK228" s="3"/>
      <c r="AL228" s="3" t="s">
        <v>60</v>
      </c>
      <c r="AM228" s="3" t="str">
        <f t="shared" si="23"/>
        <v>Must Have</v>
      </c>
    </row>
    <row r="229" spans="1:39" ht="348" x14ac:dyDescent="0.35">
      <c r="A229" s="4">
        <v>228</v>
      </c>
      <c r="B229" s="3" t="s">
        <v>39</v>
      </c>
      <c r="C229" s="3" t="s">
        <v>2365</v>
      </c>
      <c r="D229" s="3" t="s">
        <v>365</v>
      </c>
      <c r="E229" s="3" t="s">
        <v>2366</v>
      </c>
      <c r="F229" s="3" t="s">
        <v>114</v>
      </c>
      <c r="G229" s="3" t="s">
        <v>2224</v>
      </c>
      <c r="H229" s="3" t="s">
        <v>2367</v>
      </c>
      <c r="I229" s="4" t="s">
        <v>2457</v>
      </c>
      <c r="J229" s="3" t="s">
        <v>2458</v>
      </c>
      <c r="K229" s="3" t="s">
        <v>2459</v>
      </c>
      <c r="L229" s="3" t="s">
        <v>2460</v>
      </c>
      <c r="M229" s="3" t="s">
        <v>2461</v>
      </c>
      <c r="N229" s="3" t="s">
        <v>2462</v>
      </c>
      <c r="O229" s="3" t="s">
        <v>2463</v>
      </c>
      <c r="P229" s="3" t="s">
        <v>122</v>
      </c>
      <c r="Q229" s="3" t="s">
        <v>52</v>
      </c>
      <c r="R229" s="3" t="s">
        <v>53</v>
      </c>
      <c r="S229" s="3" t="s">
        <v>2464</v>
      </c>
      <c r="T229" s="3" t="s">
        <v>2465</v>
      </c>
      <c r="U229" s="3" t="s">
        <v>2466</v>
      </c>
      <c r="V229" s="3" t="s">
        <v>2467</v>
      </c>
      <c r="W229" s="3" t="s">
        <v>58</v>
      </c>
      <c r="X229" s="3">
        <f t="shared" si="18"/>
        <v>3</v>
      </c>
      <c r="Y229" s="3" t="s">
        <v>53</v>
      </c>
      <c r="Z229" s="3" t="s">
        <v>53</v>
      </c>
      <c r="AA229" s="3" t="s">
        <v>53</v>
      </c>
      <c r="AB229" s="3" t="str">
        <f t="shared" si="19"/>
        <v>Effective</v>
      </c>
      <c r="AC229" s="3" t="str">
        <f t="shared" si="20"/>
        <v>Low</v>
      </c>
      <c r="AD229" s="3">
        <f t="shared" si="21"/>
        <v>3</v>
      </c>
      <c r="AE229" s="3">
        <f t="shared" si="22"/>
        <v>3</v>
      </c>
      <c r="AF229" s="3" t="s">
        <v>59</v>
      </c>
      <c r="AG229" s="3"/>
      <c r="AH229" s="3"/>
      <c r="AI229" s="3"/>
      <c r="AJ229" s="3"/>
      <c r="AK229" s="3"/>
      <c r="AL229" s="3" t="s">
        <v>60</v>
      </c>
      <c r="AM229" s="3" t="str">
        <f t="shared" si="23"/>
        <v>Must Have</v>
      </c>
    </row>
    <row r="230" spans="1:39" ht="362.5" x14ac:dyDescent="0.35">
      <c r="A230" s="4">
        <v>229</v>
      </c>
      <c r="B230" s="3" t="s">
        <v>39</v>
      </c>
      <c r="C230" s="3" t="s">
        <v>2365</v>
      </c>
      <c r="D230" s="3" t="s">
        <v>365</v>
      </c>
      <c r="E230" s="3" t="s">
        <v>2366</v>
      </c>
      <c r="F230" s="3" t="s">
        <v>527</v>
      </c>
      <c r="G230" s="3" t="s">
        <v>2224</v>
      </c>
      <c r="H230" s="3" t="s">
        <v>2367</v>
      </c>
      <c r="I230" s="4" t="s">
        <v>2468</v>
      </c>
      <c r="J230" s="3" t="s">
        <v>2469</v>
      </c>
      <c r="K230" s="3" t="s">
        <v>2470</v>
      </c>
      <c r="L230" s="3" t="s">
        <v>2471</v>
      </c>
      <c r="M230" s="3" t="s">
        <v>2472</v>
      </c>
      <c r="N230" s="3" t="s">
        <v>2473</v>
      </c>
      <c r="O230" s="3" t="s">
        <v>2474</v>
      </c>
      <c r="P230" s="3" t="s">
        <v>51</v>
      </c>
      <c r="Q230" s="3" t="s">
        <v>153</v>
      </c>
      <c r="R230" s="3" t="s">
        <v>53</v>
      </c>
      <c r="S230" s="3" t="s">
        <v>2475</v>
      </c>
      <c r="T230" s="3" t="s">
        <v>2476</v>
      </c>
      <c r="U230" s="3" t="s">
        <v>2477</v>
      </c>
      <c r="V230" s="3" t="s">
        <v>2478</v>
      </c>
      <c r="W230" s="3" t="s">
        <v>58</v>
      </c>
      <c r="X230" s="3">
        <f t="shared" si="18"/>
        <v>3</v>
      </c>
      <c r="Y230" s="3" t="s">
        <v>53</v>
      </c>
      <c r="Z230" s="3" t="s">
        <v>53</v>
      </c>
      <c r="AA230" s="3" t="s">
        <v>53</v>
      </c>
      <c r="AB230" s="3" t="str">
        <f t="shared" si="19"/>
        <v>Effective</v>
      </c>
      <c r="AC230" s="3" t="str">
        <f t="shared" si="20"/>
        <v>Low</v>
      </c>
      <c r="AD230" s="3">
        <f t="shared" si="21"/>
        <v>3</v>
      </c>
      <c r="AE230" s="3">
        <f t="shared" si="22"/>
        <v>3</v>
      </c>
      <c r="AF230" s="3" t="s">
        <v>59</v>
      </c>
      <c r="AG230" s="3"/>
      <c r="AH230" s="3"/>
      <c r="AI230" s="3"/>
      <c r="AJ230" s="3"/>
      <c r="AK230" s="3"/>
      <c r="AL230" s="3" t="s">
        <v>60</v>
      </c>
      <c r="AM230" s="3" t="str">
        <f t="shared" si="23"/>
        <v>Must Have</v>
      </c>
    </row>
    <row r="231" spans="1:39" ht="333.5" x14ac:dyDescent="0.35">
      <c r="A231" s="4">
        <v>230</v>
      </c>
      <c r="B231" s="3" t="s">
        <v>39</v>
      </c>
      <c r="C231" s="3" t="s">
        <v>2365</v>
      </c>
      <c r="D231" s="3" t="s">
        <v>365</v>
      </c>
      <c r="E231" s="3" t="s">
        <v>2366</v>
      </c>
      <c r="F231" s="3" t="s">
        <v>114</v>
      </c>
      <c r="G231" s="3" t="s">
        <v>2224</v>
      </c>
      <c r="H231" s="3" t="s">
        <v>2367</v>
      </c>
      <c r="I231" s="4" t="s">
        <v>2479</v>
      </c>
      <c r="J231" s="3" t="s">
        <v>2480</v>
      </c>
      <c r="K231" s="3" t="s">
        <v>2481</v>
      </c>
      <c r="L231" s="3" t="s">
        <v>2482</v>
      </c>
      <c r="M231" s="3" t="s">
        <v>2483</v>
      </c>
      <c r="N231" s="3" t="s">
        <v>2484</v>
      </c>
      <c r="O231" s="3" t="s">
        <v>2485</v>
      </c>
      <c r="P231" s="3" t="s">
        <v>206</v>
      </c>
      <c r="Q231" s="3" t="s">
        <v>52</v>
      </c>
      <c r="R231" s="3" t="s">
        <v>53</v>
      </c>
      <c r="S231" s="3" t="s">
        <v>2486</v>
      </c>
      <c r="T231" s="3" t="s">
        <v>108</v>
      </c>
      <c r="U231" s="3" t="s">
        <v>2487</v>
      </c>
      <c r="V231" s="3" t="s">
        <v>2488</v>
      </c>
      <c r="W231" s="3" t="s">
        <v>58</v>
      </c>
      <c r="X231" s="3">
        <f t="shared" si="18"/>
        <v>3</v>
      </c>
      <c r="Y231" s="3" t="s">
        <v>53</v>
      </c>
      <c r="Z231" s="3" t="s">
        <v>53</v>
      </c>
      <c r="AA231" s="3" t="s">
        <v>53</v>
      </c>
      <c r="AB231" s="3" t="str">
        <f t="shared" si="19"/>
        <v>Effective</v>
      </c>
      <c r="AC231" s="3" t="str">
        <f t="shared" si="20"/>
        <v>Low</v>
      </c>
      <c r="AD231" s="3">
        <f t="shared" si="21"/>
        <v>3</v>
      </c>
      <c r="AE231" s="3">
        <f t="shared" si="22"/>
        <v>3</v>
      </c>
      <c r="AF231" s="3" t="s">
        <v>59</v>
      </c>
      <c r="AG231" s="3"/>
      <c r="AH231" s="3"/>
      <c r="AI231" s="3"/>
      <c r="AJ231" s="3"/>
      <c r="AK231" s="3"/>
      <c r="AL231" s="3" t="s">
        <v>60</v>
      </c>
      <c r="AM231" s="3" t="str">
        <f t="shared" si="23"/>
        <v>Must Have</v>
      </c>
    </row>
    <row r="232" spans="1:39" ht="348" x14ac:dyDescent="0.35">
      <c r="A232" s="4">
        <v>231</v>
      </c>
      <c r="B232" s="3" t="s">
        <v>39</v>
      </c>
      <c r="C232" s="3" t="s">
        <v>2365</v>
      </c>
      <c r="D232" s="3" t="s">
        <v>365</v>
      </c>
      <c r="E232" s="3" t="s">
        <v>2366</v>
      </c>
      <c r="F232" s="3" t="s">
        <v>114</v>
      </c>
      <c r="G232" s="3" t="s">
        <v>2224</v>
      </c>
      <c r="H232" s="3" t="s">
        <v>2367</v>
      </c>
      <c r="I232" s="4" t="s">
        <v>2489</v>
      </c>
      <c r="J232" s="3" t="s">
        <v>2490</v>
      </c>
      <c r="K232" s="3" t="s">
        <v>2491</v>
      </c>
      <c r="L232" s="3" t="s">
        <v>2492</v>
      </c>
      <c r="M232" s="3" t="s">
        <v>2493</v>
      </c>
      <c r="N232" s="3" t="s">
        <v>2494</v>
      </c>
      <c r="O232" s="3" t="s">
        <v>2495</v>
      </c>
      <c r="P232" s="3" t="s">
        <v>206</v>
      </c>
      <c r="Q232" s="3" t="s">
        <v>52</v>
      </c>
      <c r="R232" s="3" t="s">
        <v>53</v>
      </c>
      <c r="S232" s="3" t="s">
        <v>2496</v>
      </c>
      <c r="T232" s="3" t="s">
        <v>108</v>
      </c>
      <c r="U232" s="3" t="s">
        <v>2497</v>
      </c>
      <c r="V232" s="3" t="s">
        <v>2498</v>
      </c>
      <c r="W232" s="3" t="s">
        <v>58</v>
      </c>
      <c r="X232" s="3">
        <f t="shared" si="18"/>
        <v>3</v>
      </c>
      <c r="Y232" s="3" t="s">
        <v>53</v>
      </c>
      <c r="Z232" s="3" t="s">
        <v>53</v>
      </c>
      <c r="AA232" s="3" t="s">
        <v>53</v>
      </c>
      <c r="AB232" s="3" t="str">
        <f t="shared" si="19"/>
        <v>Effective</v>
      </c>
      <c r="AC232" s="3" t="str">
        <f t="shared" si="20"/>
        <v>Low</v>
      </c>
      <c r="AD232" s="3">
        <f t="shared" si="21"/>
        <v>3</v>
      </c>
      <c r="AE232" s="3">
        <f t="shared" si="22"/>
        <v>3</v>
      </c>
      <c r="AF232" s="3" t="s">
        <v>59</v>
      </c>
      <c r="AG232" s="3"/>
      <c r="AH232" s="3"/>
      <c r="AI232" s="3"/>
      <c r="AJ232" s="3"/>
      <c r="AK232" s="3"/>
      <c r="AL232" s="3" t="s">
        <v>60</v>
      </c>
      <c r="AM232" s="3" t="str">
        <f t="shared" si="23"/>
        <v>Must Have</v>
      </c>
    </row>
    <row r="233" spans="1:39" ht="362.5" x14ac:dyDescent="0.35">
      <c r="A233" s="4">
        <v>232</v>
      </c>
      <c r="B233" s="3" t="s">
        <v>39</v>
      </c>
      <c r="C233" s="3" t="s">
        <v>2365</v>
      </c>
      <c r="D233" s="3" t="s">
        <v>365</v>
      </c>
      <c r="E233" s="3" t="s">
        <v>2366</v>
      </c>
      <c r="F233" s="3" t="s">
        <v>527</v>
      </c>
      <c r="G233" s="3" t="s">
        <v>2224</v>
      </c>
      <c r="H233" s="3" t="s">
        <v>2367</v>
      </c>
      <c r="I233" s="4" t="s">
        <v>2499</v>
      </c>
      <c r="J233" s="3" t="s">
        <v>2500</v>
      </c>
      <c r="K233" s="3" t="s">
        <v>2501</v>
      </c>
      <c r="L233" s="3" t="s">
        <v>2502</v>
      </c>
      <c r="M233" s="3" t="s">
        <v>2503</v>
      </c>
      <c r="N233" s="3" t="s">
        <v>2504</v>
      </c>
      <c r="O233" s="3" t="s">
        <v>2505</v>
      </c>
      <c r="P233" s="3" t="s">
        <v>51</v>
      </c>
      <c r="Q233" s="3" t="s">
        <v>52</v>
      </c>
      <c r="R233" s="3" t="s">
        <v>154</v>
      </c>
      <c r="S233" s="3" t="s">
        <v>909</v>
      </c>
      <c r="T233" s="3" t="s">
        <v>68</v>
      </c>
      <c r="U233" s="3" t="s">
        <v>2506</v>
      </c>
      <c r="V233" s="3" t="s">
        <v>911</v>
      </c>
      <c r="W233" s="3" t="s">
        <v>58</v>
      </c>
      <c r="X233" s="3">
        <f t="shared" si="18"/>
        <v>3</v>
      </c>
      <c r="Y233" s="3" t="s">
        <v>53</v>
      </c>
      <c r="Z233" s="3" t="s">
        <v>53</v>
      </c>
      <c r="AA233" s="3" t="s">
        <v>53</v>
      </c>
      <c r="AB233" s="3" t="str">
        <f t="shared" si="19"/>
        <v>Effective</v>
      </c>
      <c r="AC233" s="3" t="str">
        <f t="shared" si="20"/>
        <v>Low</v>
      </c>
      <c r="AD233" s="3">
        <f t="shared" si="21"/>
        <v>3</v>
      </c>
      <c r="AE233" s="3">
        <f t="shared" si="22"/>
        <v>3</v>
      </c>
      <c r="AF233" s="3" t="s">
        <v>59</v>
      </c>
      <c r="AG233" s="3"/>
      <c r="AH233" s="3"/>
      <c r="AI233" s="3"/>
      <c r="AJ233" s="3"/>
      <c r="AK233" s="3"/>
      <c r="AL233" s="3" t="s">
        <v>60</v>
      </c>
      <c r="AM233" s="3" t="str">
        <f t="shared" si="23"/>
        <v>Should Have</v>
      </c>
    </row>
    <row r="234" spans="1:39" ht="304.5" x14ac:dyDescent="0.35">
      <c r="A234" s="4">
        <v>233</v>
      </c>
      <c r="B234" s="3" t="s">
        <v>39</v>
      </c>
      <c r="C234" s="3" t="s">
        <v>2365</v>
      </c>
      <c r="D234" s="3" t="s">
        <v>365</v>
      </c>
      <c r="E234" s="3" t="s">
        <v>2366</v>
      </c>
      <c r="F234" s="3" t="s">
        <v>114</v>
      </c>
      <c r="G234" s="3" t="s">
        <v>2224</v>
      </c>
      <c r="H234" s="3" t="s">
        <v>2367</v>
      </c>
      <c r="I234" s="4" t="s">
        <v>2507</v>
      </c>
      <c r="J234" s="3" t="s">
        <v>2508</v>
      </c>
      <c r="K234" s="3" t="s">
        <v>2509</v>
      </c>
      <c r="L234" s="3" t="s">
        <v>2510</v>
      </c>
      <c r="M234" s="3" t="s">
        <v>2511</v>
      </c>
      <c r="N234" s="3" t="s">
        <v>2512</v>
      </c>
      <c r="O234" s="3" t="s">
        <v>2513</v>
      </c>
      <c r="P234" s="3" t="s">
        <v>206</v>
      </c>
      <c r="Q234" s="3" t="s">
        <v>52</v>
      </c>
      <c r="R234" s="3" t="s">
        <v>53</v>
      </c>
      <c r="S234" s="3" t="s">
        <v>2514</v>
      </c>
      <c r="T234" s="3" t="s">
        <v>108</v>
      </c>
      <c r="U234" s="3" t="s">
        <v>2515</v>
      </c>
      <c r="V234" s="3" t="s">
        <v>2516</v>
      </c>
      <c r="W234" s="3" t="s">
        <v>58</v>
      </c>
      <c r="X234" s="3">
        <f t="shared" si="18"/>
        <v>3</v>
      </c>
      <c r="Y234" s="3" t="s">
        <v>53</v>
      </c>
      <c r="Z234" s="3" t="s">
        <v>53</v>
      </c>
      <c r="AA234" s="3" t="s">
        <v>53</v>
      </c>
      <c r="AB234" s="3" t="str">
        <f t="shared" si="19"/>
        <v>Effective</v>
      </c>
      <c r="AC234" s="3" t="str">
        <f t="shared" si="20"/>
        <v>Low</v>
      </c>
      <c r="AD234" s="3">
        <f t="shared" si="21"/>
        <v>3</v>
      </c>
      <c r="AE234" s="3">
        <f t="shared" si="22"/>
        <v>3</v>
      </c>
      <c r="AF234" s="3" t="s">
        <v>59</v>
      </c>
      <c r="AG234" s="3"/>
      <c r="AH234" s="3"/>
      <c r="AI234" s="3"/>
      <c r="AJ234" s="3"/>
      <c r="AK234" s="3"/>
      <c r="AL234" s="3" t="s">
        <v>60</v>
      </c>
      <c r="AM234" s="3" t="str">
        <f t="shared" si="23"/>
        <v>Must Have</v>
      </c>
    </row>
    <row r="235" spans="1:39" ht="348" x14ac:dyDescent="0.35">
      <c r="A235" s="4">
        <v>234</v>
      </c>
      <c r="B235" s="3" t="s">
        <v>39</v>
      </c>
      <c r="C235" s="3" t="s">
        <v>2365</v>
      </c>
      <c r="D235" s="3" t="s">
        <v>365</v>
      </c>
      <c r="E235" s="3" t="s">
        <v>2366</v>
      </c>
      <c r="F235" s="3" t="s">
        <v>114</v>
      </c>
      <c r="G235" s="3" t="s">
        <v>2224</v>
      </c>
      <c r="H235" s="3" t="s">
        <v>2367</v>
      </c>
      <c r="I235" s="4" t="s">
        <v>2517</v>
      </c>
      <c r="J235" s="3" t="s">
        <v>2518</v>
      </c>
      <c r="K235" s="3" t="s">
        <v>2519</v>
      </c>
      <c r="L235" s="3" t="s">
        <v>2520</v>
      </c>
      <c r="M235" s="3" t="s">
        <v>2521</v>
      </c>
      <c r="N235" s="3" t="s">
        <v>2522</v>
      </c>
      <c r="O235" s="3" t="s">
        <v>2523</v>
      </c>
      <c r="P235" s="3" t="s">
        <v>51</v>
      </c>
      <c r="Q235" s="3" t="s">
        <v>153</v>
      </c>
      <c r="R235" s="3" t="s">
        <v>154</v>
      </c>
      <c r="S235" s="3" t="s">
        <v>919</v>
      </c>
      <c r="T235" s="3" t="s">
        <v>1139</v>
      </c>
      <c r="U235" s="3" t="s">
        <v>2524</v>
      </c>
      <c r="V235" s="3" t="s">
        <v>2525</v>
      </c>
      <c r="W235" s="3" t="s">
        <v>159</v>
      </c>
      <c r="X235" s="3">
        <f t="shared" si="18"/>
        <v>2</v>
      </c>
      <c r="Y235" s="3" t="s">
        <v>53</v>
      </c>
      <c r="Z235" s="3" t="s">
        <v>53</v>
      </c>
      <c r="AA235" s="3" t="s">
        <v>53</v>
      </c>
      <c r="AB235" s="3" t="str">
        <f t="shared" si="19"/>
        <v>Effective</v>
      </c>
      <c r="AC235" s="3" t="str">
        <f t="shared" si="20"/>
        <v>Low</v>
      </c>
      <c r="AD235" s="3">
        <f t="shared" si="21"/>
        <v>2</v>
      </c>
      <c r="AE235" s="3">
        <f t="shared" si="22"/>
        <v>2</v>
      </c>
      <c r="AF235" s="3" t="s">
        <v>59</v>
      </c>
      <c r="AG235" s="3"/>
      <c r="AH235" s="3"/>
      <c r="AI235" s="3"/>
      <c r="AJ235" s="3"/>
      <c r="AK235" s="3"/>
      <c r="AL235" s="3" t="s">
        <v>60</v>
      </c>
      <c r="AM235" s="3" t="str">
        <f t="shared" si="23"/>
        <v>Should Have</v>
      </c>
    </row>
    <row r="236" spans="1:39" ht="333.5" x14ac:dyDescent="0.35">
      <c r="A236" s="4">
        <v>235</v>
      </c>
      <c r="B236" s="3" t="s">
        <v>39</v>
      </c>
      <c r="C236" s="3" t="s">
        <v>2365</v>
      </c>
      <c r="D236" s="3" t="s">
        <v>365</v>
      </c>
      <c r="E236" s="3" t="s">
        <v>2366</v>
      </c>
      <c r="F236" s="3" t="s">
        <v>114</v>
      </c>
      <c r="G236" s="3" t="s">
        <v>2224</v>
      </c>
      <c r="H236" s="3" t="s">
        <v>2367</v>
      </c>
      <c r="I236" s="4" t="s">
        <v>2526</v>
      </c>
      <c r="J236" s="3" t="s">
        <v>2527</v>
      </c>
      <c r="K236" s="3" t="s">
        <v>2528</v>
      </c>
      <c r="L236" s="3" t="s">
        <v>2529</v>
      </c>
      <c r="M236" s="3" t="s">
        <v>2530</v>
      </c>
      <c r="N236" s="3" t="s">
        <v>2531</v>
      </c>
      <c r="O236" s="3" t="s">
        <v>2532</v>
      </c>
      <c r="P236" s="3" t="s">
        <v>51</v>
      </c>
      <c r="Q236" s="3" t="s">
        <v>52</v>
      </c>
      <c r="R236" s="3" t="s">
        <v>154</v>
      </c>
      <c r="S236" s="3" t="s">
        <v>2533</v>
      </c>
      <c r="T236" s="3" t="s">
        <v>68</v>
      </c>
      <c r="U236" s="3" t="s">
        <v>2534</v>
      </c>
      <c r="V236" s="3" t="s">
        <v>2535</v>
      </c>
      <c r="W236" s="3" t="s">
        <v>159</v>
      </c>
      <c r="X236" s="3">
        <f t="shared" si="18"/>
        <v>2</v>
      </c>
      <c r="Y236" s="3" t="s">
        <v>53</v>
      </c>
      <c r="Z236" s="3" t="s">
        <v>53</v>
      </c>
      <c r="AA236" s="3" t="s">
        <v>53</v>
      </c>
      <c r="AB236" s="3" t="str">
        <f t="shared" si="19"/>
        <v>Effective</v>
      </c>
      <c r="AC236" s="3" t="str">
        <f t="shared" si="20"/>
        <v>Low</v>
      </c>
      <c r="AD236" s="3">
        <f t="shared" si="21"/>
        <v>2</v>
      </c>
      <c r="AE236" s="3">
        <f t="shared" si="22"/>
        <v>2</v>
      </c>
      <c r="AF236" s="3" t="s">
        <v>59</v>
      </c>
      <c r="AG236" s="3"/>
      <c r="AH236" s="3"/>
      <c r="AI236" s="3"/>
      <c r="AJ236" s="3"/>
      <c r="AK236" s="3"/>
      <c r="AL236" s="3" t="s">
        <v>60</v>
      </c>
      <c r="AM236" s="3" t="str">
        <f t="shared" si="23"/>
        <v>Should Have</v>
      </c>
    </row>
    <row r="237" spans="1:39" ht="304.5" x14ac:dyDescent="0.35">
      <c r="A237" s="4">
        <v>236</v>
      </c>
      <c r="B237" s="3" t="s">
        <v>39</v>
      </c>
      <c r="C237" s="3" t="s">
        <v>2365</v>
      </c>
      <c r="D237" s="3" t="s">
        <v>365</v>
      </c>
      <c r="E237" s="3" t="s">
        <v>2366</v>
      </c>
      <c r="F237" s="3" t="s">
        <v>114</v>
      </c>
      <c r="G237" s="3" t="s">
        <v>2224</v>
      </c>
      <c r="H237" s="3" t="s">
        <v>2367</v>
      </c>
      <c r="I237" s="4" t="s">
        <v>2536</v>
      </c>
      <c r="J237" s="3" t="s">
        <v>2537</v>
      </c>
      <c r="K237" s="3" t="s">
        <v>2538</v>
      </c>
      <c r="L237" s="3" t="s">
        <v>2539</v>
      </c>
      <c r="M237" s="3" t="s">
        <v>2540</v>
      </c>
      <c r="N237" s="3" t="s">
        <v>2541</v>
      </c>
      <c r="O237" s="3" t="s">
        <v>2542</v>
      </c>
      <c r="P237" s="3" t="s">
        <v>51</v>
      </c>
      <c r="Q237" s="3" t="s">
        <v>52</v>
      </c>
      <c r="R237" s="3" t="s">
        <v>154</v>
      </c>
      <c r="S237" s="3" t="s">
        <v>2543</v>
      </c>
      <c r="T237" s="3" t="s">
        <v>2544</v>
      </c>
      <c r="U237" s="3" t="s">
        <v>2545</v>
      </c>
      <c r="V237" s="3" t="s">
        <v>2546</v>
      </c>
      <c r="W237" s="3" t="s">
        <v>58</v>
      </c>
      <c r="X237" s="3">
        <f t="shared" si="18"/>
        <v>3</v>
      </c>
      <c r="Y237" s="3" t="s">
        <v>53</v>
      </c>
      <c r="Z237" s="3" t="s">
        <v>53</v>
      </c>
      <c r="AA237" s="3" t="s">
        <v>53</v>
      </c>
      <c r="AB237" s="3" t="str">
        <f t="shared" si="19"/>
        <v>Effective</v>
      </c>
      <c r="AC237" s="3" t="str">
        <f t="shared" si="20"/>
        <v>Low</v>
      </c>
      <c r="AD237" s="3">
        <f t="shared" si="21"/>
        <v>3</v>
      </c>
      <c r="AE237" s="3">
        <f t="shared" si="22"/>
        <v>3</v>
      </c>
      <c r="AF237" s="3" t="s">
        <v>59</v>
      </c>
      <c r="AG237" s="3"/>
      <c r="AH237" s="3"/>
      <c r="AI237" s="3"/>
      <c r="AJ237" s="3"/>
      <c r="AK237" s="3"/>
      <c r="AL237" s="3" t="s">
        <v>60</v>
      </c>
      <c r="AM237" s="3" t="str">
        <f t="shared" si="23"/>
        <v>Should Have</v>
      </c>
    </row>
    <row r="238" spans="1:39" ht="362.5" x14ac:dyDescent="0.35">
      <c r="A238" s="4">
        <v>237</v>
      </c>
      <c r="B238" s="3" t="s">
        <v>39</v>
      </c>
      <c r="C238" s="3" t="s">
        <v>2547</v>
      </c>
      <c r="D238" s="3" t="s">
        <v>112</v>
      </c>
      <c r="E238" s="3" t="s">
        <v>2548</v>
      </c>
      <c r="F238" s="3" t="s">
        <v>42</v>
      </c>
      <c r="G238" s="3" t="s">
        <v>2224</v>
      </c>
      <c r="H238" s="3" t="s">
        <v>2549</v>
      </c>
      <c r="I238" s="4" t="s">
        <v>2550</v>
      </c>
      <c r="J238" s="3" t="s">
        <v>2551</v>
      </c>
      <c r="K238" s="3" t="s">
        <v>2552</v>
      </c>
      <c r="L238" s="3" t="s">
        <v>2553</v>
      </c>
      <c r="M238" s="3" t="s">
        <v>2554</v>
      </c>
      <c r="N238" s="3" t="s">
        <v>2555</v>
      </c>
      <c r="O238" s="3" t="s">
        <v>2556</v>
      </c>
      <c r="P238" s="3" t="s">
        <v>51</v>
      </c>
      <c r="Q238" s="3" t="s">
        <v>52</v>
      </c>
      <c r="R238" s="3" t="s">
        <v>53</v>
      </c>
      <c r="S238" s="3" t="s">
        <v>2263</v>
      </c>
      <c r="T238" s="3" t="s">
        <v>68</v>
      </c>
      <c r="U238" s="3" t="s">
        <v>2557</v>
      </c>
      <c r="V238" s="3" t="s">
        <v>2265</v>
      </c>
      <c r="W238" s="3" t="s">
        <v>58</v>
      </c>
      <c r="X238" s="3">
        <f t="shared" si="18"/>
        <v>3</v>
      </c>
      <c r="Y238" s="3" t="s">
        <v>53</v>
      </c>
      <c r="Z238" s="3" t="s">
        <v>53</v>
      </c>
      <c r="AA238" s="3" t="s">
        <v>53</v>
      </c>
      <c r="AB238" s="3" t="str">
        <f t="shared" si="19"/>
        <v>Effective</v>
      </c>
      <c r="AC238" s="3" t="str">
        <f t="shared" si="20"/>
        <v>Low</v>
      </c>
      <c r="AD238" s="3">
        <f t="shared" si="21"/>
        <v>3</v>
      </c>
      <c r="AE238" s="3">
        <f t="shared" si="22"/>
        <v>3</v>
      </c>
      <c r="AF238" s="3" t="s">
        <v>59</v>
      </c>
      <c r="AG238" s="3"/>
      <c r="AH238" s="3"/>
      <c r="AI238" s="3"/>
      <c r="AJ238" s="3"/>
      <c r="AK238" s="3"/>
      <c r="AL238" s="3" t="s">
        <v>60</v>
      </c>
      <c r="AM238" s="3" t="str">
        <f t="shared" si="23"/>
        <v>Must Have</v>
      </c>
    </row>
    <row r="239" spans="1:39" ht="348" x14ac:dyDescent="0.35">
      <c r="A239" s="4">
        <v>238</v>
      </c>
      <c r="B239" s="3" t="s">
        <v>39</v>
      </c>
      <c r="C239" s="3" t="s">
        <v>2547</v>
      </c>
      <c r="D239" s="3" t="s">
        <v>112</v>
      </c>
      <c r="E239" s="3" t="s">
        <v>2548</v>
      </c>
      <c r="F239" s="3" t="s">
        <v>42</v>
      </c>
      <c r="G239" s="3" t="s">
        <v>2224</v>
      </c>
      <c r="H239" s="3" t="s">
        <v>2549</v>
      </c>
      <c r="I239" s="4" t="s">
        <v>2558</v>
      </c>
      <c r="J239" s="3" t="s">
        <v>2559</v>
      </c>
      <c r="K239" s="3" t="s">
        <v>2560</v>
      </c>
      <c r="L239" s="3" t="s">
        <v>2561</v>
      </c>
      <c r="M239" s="3" t="s">
        <v>2562</v>
      </c>
      <c r="N239" s="3" t="s">
        <v>2563</v>
      </c>
      <c r="O239" s="3" t="s">
        <v>2564</v>
      </c>
      <c r="P239" s="3" t="s">
        <v>122</v>
      </c>
      <c r="Q239" s="3" t="s">
        <v>52</v>
      </c>
      <c r="R239" s="3" t="s">
        <v>53</v>
      </c>
      <c r="S239" s="3" t="s">
        <v>2548</v>
      </c>
      <c r="T239" s="3" t="s">
        <v>108</v>
      </c>
      <c r="U239" s="3" t="s">
        <v>2565</v>
      </c>
      <c r="V239" s="3" t="s">
        <v>2566</v>
      </c>
      <c r="W239" s="3" t="s">
        <v>159</v>
      </c>
      <c r="X239" s="3">
        <f t="shared" si="18"/>
        <v>2</v>
      </c>
      <c r="Y239" s="3" t="s">
        <v>53</v>
      </c>
      <c r="Z239" s="3" t="s">
        <v>53</v>
      </c>
      <c r="AA239" s="3" t="s">
        <v>53</v>
      </c>
      <c r="AB239" s="3" t="str">
        <f t="shared" si="19"/>
        <v>Effective</v>
      </c>
      <c r="AC239" s="3" t="str">
        <f t="shared" si="20"/>
        <v>Low</v>
      </c>
      <c r="AD239" s="3">
        <f t="shared" si="21"/>
        <v>2</v>
      </c>
      <c r="AE239" s="3">
        <f t="shared" si="22"/>
        <v>2</v>
      </c>
      <c r="AF239" s="3" t="s">
        <v>59</v>
      </c>
      <c r="AG239" s="3"/>
      <c r="AH239" s="3"/>
      <c r="AI239" s="3"/>
      <c r="AJ239" s="3"/>
      <c r="AK239" s="3"/>
      <c r="AL239" s="3" t="s">
        <v>60</v>
      </c>
      <c r="AM239" s="3" t="str">
        <f t="shared" si="23"/>
        <v>Should Have</v>
      </c>
    </row>
    <row r="240" spans="1:39" ht="333.5" x14ac:dyDescent="0.35">
      <c r="A240" s="4">
        <v>239</v>
      </c>
      <c r="B240" s="3" t="s">
        <v>39</v>
      </c>
      <c r="C240" s="3" t="s">
        <v>2547</v>
      </c>
      <c r="D240" s="3" t="s">
        <v>112</v>
      </c>
      <c r="E240" s="3" t="s">
        <v>2548</v>
      </c>
      <c r="F240" s="3" t="s">
        <v>527</v>
      </c>
      <c r="G240" s="3" t="s">
        <v>2224</v>
      </c>
      <c r="H240" s="3" t="s">
        <v>2549</v>
      </c>
      <c r="I240" s="4" t="s">
        <v>2567</v>
      </c>
      <c r="J240" s="3" t="s">
        <v>2568</v>
      </c>
      <c r="K240" s="3" t="s">
        <v>2569</v>
      </c>
      <c r="L240" s="3" t="s">
        <v>2570</v>
      </c>
      <c r="M240" s="3" t="s">
        <v>2571</v>
      </c>
      <c r="N240" s="3" t="s">
        <v>2572</v>
      </c>
      <c r="O240" s="3" t="s">
        <v>2573</v>
      </c>
      <c r="P240" s="3" t="s">
        <v>51</v>
      </c>
      <c r="Q240" s="3" t="s">
        <v>52</v>
      </c>
      <c r="R240" s="3" t="s">
        <v>53</v>
      </c>
      <c r="S240" s="3" t="s">
        <v>2574</v>
      </c>
      <c r="T240" s="3" t="s">
        <v>68</v>
      </c>
      <c r="U240" s="3" t="s">
        <v>2575</v>
      </c>
      <c r="V240" s="3" t="s">
        <v>2576</v>
      </c>
      <c r="W240" s="3" t="s">
        <v>58</v>
      </c>
      <c r="X240" s="3">
        <f t="shared" si="18"/>
        <v>3</v>
      </c>
      <c r="Y240" s="3" t="s">
        <v>53</v>
      </c>
      <c r="Z240" s="3" t="s">
        <v>53</v>
      </c>
      <c r="AA240" s="3" t="s">
        <v>53</v>
      </c>
      <c r="AB240" s="3" t="str">
        <f t="shared" si="19"/>
        <v>Effective</v>
      </c>
      <c r="AC240" s="3" t="str">
        <f t="shared" si="20"/>
        <v>Low</v>
      </c>
      <c r="AD240" s="3">
        <f t="shared" si="21"/>
        <v>3</v>
      </c>
      <c r="AE240" s="3">
        <f t="shared" si="22"/>
        <v>3</v>
      </c>
      <c r="AF240" s="3" t="s">
        <v>59</v>
      </c>
      <c r="AG240" s="3"/>
      <c r="AH240" s="3"/>
      <c r="AI240" s="3"/>
      <c r="AJ240" s="3"/>
      <c r="AK240" s="3"/>
      <c r="AL240" s="3" t="s">
        <v>60</v>
      </c>
      <c r="AM240" s="3" t="str">
        <f t="shared" si="23"/>
        <v>Must Have</v>
      </c>
    </row>
    <row r="241" spans="1:39" ht="319" x14ac:dyDescent="0.35">
      <c r="A241" s="4">
        <v>240</v>
      </c>
      <c r="B241" s="3" t="s">
        <v>39</v>
      </c>
      <c r="C241" s="3" t="s">
        <v>2547</v>
      </c>
      <c r="D241" s="3" t="s">
        <v>112</v>
      </c>
      <c r="E241" s="3" t="s">
        <v>2548</v>
      </c>
      <c r="F241" s="3" t="s">
        <v>42</v>
      </c>
      <c r="G241" s="3" t="s">
        <v>2224</v>
      </c>
      <c r="H241" s="3" t="s">
        <v>2549</v>
      </c>
      <c r="I241" s="4" t="s">
        <v>2577</v>
      </c>
      <c r="J241" s="3" t="s">
        <v>2578</v>
      </c>
      <c r="K241" s="3" t="s">
        <v>2579</v>
      </c>
      <c r="L241" s="3" t="s">
        <v>2580</v>
      </c>
      <c r="M241" s="3" t="s">
        <v>2581</v>
      </c>
      <c r="N241" s="3" t="s">
        <v>2582</v>
      </c>
      <c r="O241" s="3" t="s">
        <v>2583</v>
      </c>
      <c r="P241" s="3" t="s">
        <v>51</v>
      </c>
      <c r="Q241" s="3" t="s">
        <v>153</v>
      </c>
      <c r="R241" s="3" t="s">
        <v>154</v>
      </c>
      <c r="S241" s="3" t="s">
        <v>2584</v>
      </c>
      <c r="T241" s="3" t="s">
        <v>68</v>
      </c>
      <c r="U241" s="3" t="s">
        <v>2585</v>
      </c>
      <c r="V241" s="3" t="s">
        <v>2586</v>
      </c>
      <c r="W241" s="3" t="s">
        <v>2364</v>
      </c>
      <c r="X241" s="3">
        <f t="shared" si="18"/>
        <v>1</v>
      </c>
      <c r="Y241" s="3" t="s">
        <v>53</v>
      </c>
      <c r="Z241" s="3" t="s">
        <v>53</v>
      </c>
      <c r="AA241" s="3" t="s">
        <v>53</v>
      </c>
      <c r="AB241" s="3" t="str">
        <f t="shared" si="19"/>
        <v>Effective</v>
      </c>
      <c r="AC241" s="3" t="str">
        <f t="shared" si="20"/>
        <v>Low</v>
      </c>
      <c r="AD241" s="3">
        <f t="shared" si="21"/>
        <v>1</v>
      </c>
      <c r="AE241" s="3">
        <f t="shared" si="22"/>
        <v>1</v>
      </c>
      <c r="AF241" s="3" t="s">
        <v>59</v>
      </c>
      <c r="AG241" s="3"/>
      <c r="AH241" s="3"/>
      <c r="AI241" s="3"/>
      <c r="AJ241" s="3"/>
      <c r="AK241" s="3"/>
      <c r="AL241" s="3" t="s">
        <v>60</v>
      </c>
      <c r="AM241" s="3" t="str">
        <f t="shared" si="23"/>
        <v>Should Have</v>
      </c>
    </row>
    <row r="242" spans="1:39" ht="362.5" x14ac:dyDescent="0.35">
      <c r="A242" s="4">
        <v>241</v>
      </c>
      <c r="B242" s="3" t="s">
        <v>39</v>
      </c>
      <c r="C242" s="3" t="s">
        <v>2547</v>
      </c>
      <c r="D242" s="3" t="s">
        <v>112</v>
      </c>
      <c r="E242" s="3" t="s">
        <v>2548</v>
      </c>
      <c r="F242" s="3" t="s">
        <v>114</v>
      </c>
      <c r="G242" s="3" t="s">
        <v>2224</v>
      </c>
      <c r="H242" s="3" t="s">
        <v>2549</v>
      </c>
      <c r="I242" s="4" t="s">
        <v>2587</v>
      </c>
      <c r="J242" s="3" t="s">
        <v>2588</v>
      </c>
      <c r="K242" s="3" t="s">
        <v>2589</v>
      </c>
      <c r="L242" s="3" t="s">
        <v>2590</v>
      </c>
      <c r="M242" s="3" t="s">
        <v>2591</v>
      </c>
      <c r="N242" s="3" t="s">
        <v>2592</v>
      </c>
      <c r="O242" s="3" t="s">
        <v>2593</v>
      </c>
      <c r="P242" s="3" t="s">
        <v>51</v>
      </c>
      <c r="Q242" s="3" t="s">
        <v>52</v>
      </c>
      <c r="R242" s="3" t="s">
        <v>154</v>
      </c>
      <c r="S242" s="3" t="s">
        <v>2548</v>
      </c>
      <c r="T242" s="3" t="s">
        <v>1958</v>
      </c>
      <c r="U242" s="3" t="s">
        <v>2594</v>
      </c>
      <c r="V242" s="3" t="s">
        <v>2595</v>
      </c>
      <c r="W242" s="3" t="s">
        <v>159</v>
      </c>
      <c r="X242" s="3">
        <f t="shared" si="18"/>
        <v>2</v>
      </c>
      <c r="Y242" s="3" t="s">
        <v>53</v>
      </c>
      <c r="Z242" s="3" t="s">
        <v>53</v>
      </c>
      <c r="AA242" s="3" t="s">
        <v>53</v>
      </c>
      <c r="AB242" s="3" t="str">
        <f t="shared" si="19"/>
        <v>Effective</v>
      </c>
      <c r="AC242" s="3" t="str">
        <f t="shared" si="20"/>
        <v>Low</v>
      </c>
      <c r="AD242" s="3">
        <f t="shared" si="21"/>
        <v>2</v>
      </c>
      <c r="AE242" s="3">
        <f t="shared" si="22"/>
        <v>2</v>
      </c>
      <c r="AF242" s="3" t="s">
        <v>59</v>
      </c>
      <c r="AG242" s="3"/>
      <c r="AH242" s="3"/>
      <c r="AI242" s="3"/>
      <c r="AJ242" s="3"/>
      <c r="AK242" s="3"/>
      <c r="AL242" s="3" t="s">
        <v>60</v>
      </c>
      <c r="AM242" s="3" t="str">
        <f t="shared" si="23"/>
        <v>Should Have</v>
      </c>
    </row>
    <row r="243" spans="1:39" ht="319" x14ac:dyDescent="0.35">
      <c r="A243" s="4">
        <v>242</v>
      </c>
      <c r="B243" s="3" t="s">
        <v>39</v>
      </c>
      <c r="C243" s="3" t="s">
        <v>2547</v>
      </c>
      <c r="D243" s="3" t="s">
        <v>112</v>
      </c>
      <c r="E243" s="3" t="s">
        <v>2548</v>
      </c>
      <c r="F243" s="3" t="s">
        <v>42</v>
      </c>
      <c r="G243" s="3" t="s">
        <v>2224</v>
      </c>
      <c r="H243" s="3" t="s">
        <v>2549</v>
      </c>
      <c r="I243" s="4" t="s">
        <v>2596</v>
      </c>
      <c r="J243" s="3" t="s">
        <v>2597</v>
      </c>
      <c r="K243" s="3" t="s">
        <v>2598</v>
      </c>
      <c r="L243" s="3" t="s">
        <v>2599</v>
      </c>
      <c r="M243" s="3" t="s">
        <v>2600</v>
      </c>
      <c r="N243" s="3" t="s">
        <v>2601</v>
      </c>
      <c r="O243" s="3" t="s">
        <v>2602</v>
      </c>
      <c r="P243" s="3" t="s">
        <v>122</v>
      </c>
      <c r="Q243" s="3" t="s">
        <v>153</v>
      </c>
      <c r="R243" s="3" t="s">
        <v>53</v>
      </c>
      <c r="S243" s="3" t="s">
        <v>2603</v>
      </c>
      <c r="T243" s="3" t="s">
        <v>1139</v>
      </c>
      <c r="U243" s="3" t="s">
        <v>2604</v>
      </c>
      <c r="V243" s="3" t="s">
        <v>2605</v>
      </c>
      <c r="W243" s="3" t="s">
        <v>58</v>
      </c>
      <c r="X243" s="3">
        <f t="shared" si="18"/>
        <v>3</v>
      </c>
      <c r="Y243" s="3" t="s">
        <v>53</v>
      </c>
      <c r="Z243" s="3" t="s">
        <v>53</v>
      </c>
      <c r="AA243" s="3" t="s">
        <v>53</v>
      </c>
      <c r="AB243" s="3" t="str">
        <f t="shared" si="19"/>
        <v>Effective</v>
      </c>
      <c r="AC243" s="3" t="str">
        <f t="shared" si="20"/>
        <v>Low</v>
      </c>
      <c r="AD243" s="3">
        <f t="shared" si="21"/>
        <v>3</v>
      </c>
      <c r="AE243" s="3">
        <f t="shared" si="22"/>
        <v>3</v>
      </c>
      <c r="AF243" s="3" t="s">
        <v>59</v>
      </c>
      <c r="AG243" s="3"/>
      <c r="AH243" s="3"/>
      <c r="AI243" s="3"/>
      <c r="AJ243" s="3"/>
      <c r="AK243" s="3"/>
      <c r="AL243" s="3" t="s">
        <v>60</v>
      </c>
      <c r="AM243" s="3" t="str">
        <f t="shared" si="23"/>
        <v>Must Have</v>
      </c>
    </row>
    <row r="244" spans="1:39" ht="348" x14ac:dyDescent="0.35">
      <c r="A244" s="4">
        <v>243</v>
      </c>
      <c r="B244" s="3" t="s">
        <v>39</v>
      </c>
      <c r="C244" s="3" t="s">
        <v>2547</v>
      </c>
      <c r="D244" s="3" t="s">
        <v>112</v>
      </c>
      <c r="E244" s="3" t="s">
        <v>2548</v>
      </c>
      <c r="F244" s="3" t="s">
        <v>42</v>
      </c>
      <c r="G244" s="3" t="s">
        <v>2224</v>
      </c>
      <c r="H244" s="3" t="s">
        <v>2549</v>
      </c>
      <c r="I244" s="4" t="s">
        <v>2606</v>
      </c>
      <c r="J244" s="3" t="s">
        <v>2607</v>
      </c>
      <c r="K244" s="3" t="s">
        <v>2608</v>
      </c>
      <c r="L244" s="3" t="s">
        <v>2609</v>
      </c>
      <c r="M244" s="3" t="s">
        <v>2610</v>
      </c>
      <c r="N244" s="3" t="s">
        <v>2611</v>
      </c>
      <c r="O244" s="3" t="s">
        <v>2612</v>
      </c>
      <c r="P244" s="3" t="s">
        <v>122</v>
      </c>
      <c r="Q244" s="3" t="s">
        <v>52</v>
      </c>
      <c r="R244" s="3" t="s">
        <v>154</v>
      </c>
      <c r="S244" s="3" t="s">
        <v>113</v>
      </c>
      <c r="T244" s="3" t="s">
        <v>1139</v>
      </c>
      <c r="U244" s="3" t="s">
        <v>2613</v>
      </c>
      <c r="V244" s="3" t="s">
        <v>2614</v>
      </c>
      <c r="W244" s="3" t="s">
        <v>159</v>
      </c>
      <c r="X244" s="3">
        <f t="shared" si="18"/>
        <v>2</v>
      </c>
      <c r="Y244" s="3" t="s">
        <v>53</v>
      </c>
      <c r="Z244" s="3" t="s">
        <v>53</v>
      </c>
      <c r="AA244" s="3" t="s">
        <v>53</v>
      </c>
      <c r="AB244" s="3" t="str">
        <f t="shared" si="19"/>
        <v>Effective</v>
      </c>
      <c r="AC244" s="3" t="str">
        <f t="shared" si="20"/>
        <v>Low</v>
      </c>
      <c r="AD244" s="3">
        <f t="shared" si="21"/>
        <v>2</v>
      </c>
      <c r="AE244" s="3">
        <f t="shared" si="22"/>
        <v>2</v>
      </c>
      <c r="AF244" s="3" t="s">
        <v>59</v>
      </c>
      <c r="AG244" s="3"/>
      <c r="AH244" s="3"/>
      <c r="AI244" s="3"/>
      <c r="AJ244" s="3"/>
      <c r="AK244" s="3"/>
      <c r="AL244" s="3" t="s">
        <v>60</v>
      </c>
      <c r="AM244" s="3" t="str">
        <f t="shared" si="23"/>
        <v>Should Have</v>
      </c>
    </row>
    <row r="245" spans="1:39" ht="333.5" x14ac:dyDescent="0.35">
      <c r="A245" s="4">
        <v>244</v>
      </c>
      <c r="B245" s="3" t="s">
        <v>39</v>
      </c>
      <c r="C245" s="3" t="s">
        <v>2547</v>
      </c>
      <c r="D245" s="3" t="s">
        <v>112</v>
      </c>
      <c r="E245" s="3" t="s">
        <v>2548</v>
      </c>
      <c r="F245" s="3" t="s">
        <v>42</v>
      </c>
      <c r="G245" s="3" t="s">
        <v>2224</v>
      </c>
      <c r="H245" s="3" t="s">
        <v>2549</v>
      </c>
      <c r="I245" s="4" t="s">
        <v>2615</v>
      </c>
      <c r="J245" s="3" t="s">
        <v>2616</v>
      </c>
      <c r="K245" s="3" t="s">
        <v>2617</v>
      </c>
      <c r="L245" s="3" t="s">
        <v>2618</v>
      </c>
      <c r="M245" s="3" t="s">
        <v>2619</v>
      </c>
      <c r="N245" s="3" t="s">
        <v>2620</v>
      </c>
      <c r="O245" s="3" t="s">
        <v>2621</v>
      </c>
      <c r="P245" s="3" t="s">
        <v>206</v>
      </c>
      <c r="Q245" s="3" t="s">
        <v>153</v>
      </c>
      <c r="R245" s="3" t="s">
        <v>53</v>
      </c>
      <c r="S245" s="3" t="s">
        <v>2548</v>
      </c>
      <c r="T245" s="3" t="s">
        <v>108</v>
      </c>
      <c r="U245" s="3" t="s">
        <v>2622</v>
      </c>
      <c r="V245" s="3" t="s">
        <v>2623</v>
      </c>
      <c r="W245" s="3" t="s">
        <v>58</v>
      </c>
      <c r="X245" s="3">
        <f t="shared" si="18"/>
        <v>3</v>
      </c>
      <c r="Y245" s="3" t="s">
        <v>53</v>
      </c>
      <c r="Z245" s="3" t="s">
        <v>53</v>
      </c>
      <c r="AA245" s="3" t="s">
        <v>53</v>
      </c>
      <c r="AB245" s="3" t="str">
        <f t="shared" si="19"/>
        <v>Effective</v>
      </c>
      <c r="AC245" s="3" t="str">
        <f t="shared" si="20"/>
        <v>Low</v>
      </c>
      <c r="AD245" s="3">
        <f t="shared" si="21"/>
        <v>3</v>
      </c>
      <c r="AE245" s="3">
        <f t="shared" si="22"/>
        <v>3</v>
      </c>
      <c r="AF245" s="3" t="s">
        <v>59</v>
      </c>
      <c r="AG245" s="3"/>
      <c r="AH245" s="3"/>
      <c r="AI245" s="3"/>
      <c r="AJ245" s="3"/>
      <c r="AK245" s="3"/>
      <c r="AL245" s="3" t="s">
        <v>60</v>
      </c>
      <c r="AM245" s="3" t="str">
        <f t="shared" si="23"/>
        <v>Must Have</v>
      </c>
    </row>
    <row r="246" spans="1:39" ht="333.5" x14ac:dyDescent="0.35">
      <c r="A246" s="4">
        <v>245</v>
      </c>
      <c r="B246" s="3" t="s">
        <v>39</v>
      </c>
      <c r="C246" s="3" t="s">
        <v>2547</v>
      </c>
      <c r="D246" s="3" t="s">
        <v>112</v>
      </c>
      <c r="E246" s="3" t="s">
        <v>2548</v>
      </c>
      <c r="F246" s="3" t="s">
        <v>42</v>
      </c>
      <c r="G246" s="3" t="s">
        <v>2224</v>
      </c>
      <c r="H246" s="3" t="s">
        <v>2549</v>
      </c>
      <c r="I246" s="4" t="s">
        <v>2624</v>
      </c>
      <c r="J246" s="3" t="s">
        <v>2625</v>
      </c>
      <c r="K246" s="3" t="s">
        <v>2626</v>
      </c>
      <c r="L246" s="3" t="s">
        <v>2627</v>
      </c>
      <c r="M246" s="3" t="s">
        <v>2628</v>
      </c>
      <c r="N246" s="3" t="s">
        <v>2629</v>
      </c>
      <c r="O246" s="3" t="s">
        <v>2630</v>
      </c>
      <c r="P246" s="3" t="s">
        <v>51</v>
      </c>
      <c r="Q246" s="3" t="s">
        <v>153</v>
      </c>
      <c r="R246" s="3" t="s">
        <v>154</v>
      </c>
      <c r="S246" s="3" t="s">
        <v>2631</v>
      </c>
      <c r="T246" s="3" t="s">
        <v>68</v>
      </c>
      <c r="U246" s="3" t="s">
        <v>2632</v>
      </c>
      <c r="V246" s="3" t="s">
        <v>2633</v>
      </c>
      <c r="W246" s="3" t="s">
        <v>159</v>
      </c>
      <c r="X246" s="3">
        <f t="shared" si="18"/>
        <v>2</v>
      </c>
      <c r="Y246" s="3" t="s">
        <v>53</v>
      </c>
      <c r="Z246" s="3" t="s">
        <v>53</v>
      </c>
      <c r="AA246" s="3" t="s">
        <v>53</v>
      </c>
      <c r="AB246" s="3" t="str">
        <f t="shared" si="19"/>
        <v>Effective</v>
      </c>
      <c r="AC246" s="3" t="str">
        <f t="shared" si="20"/>
        <v>Low</v>
      </c>
      <c r="AD246" s="3">
        <f t="shared" si="21"/>
        <v>2</v>
      </c>
      <c r="AE246" s="3">
        <f t="shared" si="22"/>
        <v>2</v>
      </c>
      <c r="AF246" s="3" t="s">
        <v>59</v>
      </c>
      <c r="AG246" s="3"/>
      <c r="AH246" s="3"/>
      <c r="AI246" s="3"/>
      <c r="AJ246" s="3"/>
      <c r="AK246" s="3"/>
      <c r="AL246" s="3" t="s">
        <v>60</v>
      </c>
      <c r="AM246" s="3" t="str">
        <f t="shared" si="23"/>
        <v>Should Have</v>
      </c>
    </row>
    <row r="247" spans="1:39" ht="333.5" x14ac:dyDescent="0.35">
      <c r="A247" s="4">
        <v>246</v>
      </c>
      <c r="B247" s="3" t="s">
        <v>39</v>
      </c>
      <c r="C247" s="3" t="s">
        <v>2547</v>
      </c>
      <c r="D247" s="3" t="s">
        <v>112</v>
      </c>
      <c r="E247" s="3" t="s">
        <v>2548</v>
      </c>
      <c r="F247" s="3" t="s">
        <v>114</v>
      </c>
      <c r="G247" s="3" t="s">
        <v>2224</v>
      </c>
      <c r="H247" s="3" t="s">
        <v>2549</v>
      </c>
      <c r="I247" s="4" t="s">
        <v>2634</v>
      </c>
      <c r="J247" s="3" t="s">
        <v>2635</v>
      </c>
      <c r="K247" s="3" t="s">
        <v>2636</v>
      </c>
      <c r="L247" s="3" t="s">
        <v>2637</v>
      </c>
      <c r="M247" s="3" t="s">
        <v>2638</v>
      </c>
      <c r="N247" s="3" t="s">
        <v>2639</v>
      </c>
      <c r="O247" s="3" t="s">
        <v>2640</v>
      </c>
      <c r="P247" s="3" t="s">
        <v>122</v>
      </c>
      <c r="Q247" s="3" t="s">
        <v>52</v>
      </c>
      <c r="R247" s="3" t="s">
        <v>53</v>
      </c>
      <c r="S247" s="3" t="s">
        <v>2548</v>
      </c>
      <c r="T247" s="3" t="s">
        <v>108</v>
      </c>
      <c r="U247" s="3" t="s">
        <v>2641</v>
      </c>
      <c r="V247" s="3" t="s">
        <v>2566</v>
      </c>
      <c r="W247" s="3" t="s">
        <v>58</v>
      </c>
      <c r="X247" s="3">
        <f t="shared" si="18"/>
        <v>3</v>
      </c>
      <c r="Y247" s="3" t="s">
        <v>53</v>
      </c>
      <c r="Z247" s="3" t="s">
        <v>53</v>
      </c>
      <c r="AA247" s="3" t="s">
        <v>53</v>
      </c>
      <c r="AB247" s="3" t="str">
        <f t="shared" si="19"/>
        <v>Effective</v>
      </c>
      <c r="AC247" s="3" t="str">
        <f t="shared" si="20"/>
        <v>Low</v>
      </c>
      <c r="AD247" s="3">
        <f t="shared" si="21"/>
        <v>3</v>
      </c>
      <c r="AE247" s="3">
        <f t="shared" si="22"/>
        <v>3</v>
      </c>
      <c r="AF247" s="3" t="s">
        <v>59</v>
      </c>
      <c r="AG247" s="3"/>
      <c r="AH247" s="3"/>
      <c r="AI247" s="3"/>
      <c r="AJ247" s="3"/>
      <c r="AK247" s="3"/>
      <c r="AL247" s="3" t="s">
        <v>60</v>
      </c>
      <c r="AM247" s="3" t="str">
        <f t="shared" si="23"/>
        <v>Must Have</v>
      </c>
    </row>
    <row r="248" spans="1:39" ht="348" x14ac:dyDescent="0.35">
      <c r="A248" s="4">
        <v>247</v>
      </c>
      <c r="B248" s="3" t="s">
        <v>39</v>
      </c>
      <c r="C248" s="3" t="s">
        <v>2547</v>
      </c>
      <c r="D248" s="3" t="s">
        <v>112</v>
      </c>
      <c r="E248" s="3" t="s">
        <v>2548</v>
      </c>
      <c r="F248" s="3" t="s">
        <v>42</v>
      </c>
      <c r="G248" s="3" t="s">
        <v>2224</v>
      </c>
      <c r="H248" s="3" t="s">
        <v>2549</v>
      </c>
      <c r="I248" s="4" t="s">
        <v>2642</v>
      </c>
      <c r="J248" s="3" t="s">
        <v>2643</v>
      </c>
      <c r="K248" s="3" t="s">
        <v>2644</v>
      </c>
      <c r="L248" s="3" t="s">
        <v>2645</v>
      </c>
      <c r="M248" s="3" t="s">
        <v>2646</v>
      </c>
      <c r="N248" s="3" t="s">
        <v>2647</v>
      </c>
      <c r="O248" s="3" t="s">
        <v>2648</v>
      </c>
      <c r="P248" s="3" t="s">
        <v>206</v>
      </c>
      <c r="Q248" s="3" t="s">
        <v>153</v>
      </c>
      <c r="R248" s="3" t="s">
        <v>154</v>
      </c>
      <c r="S248" s="3" t="s">
        <v>2548</v>
      </c>
      <c r="T248" s="3" t="s">
        <v>108</v>
      </c>
      <c r="U248" s="3" t="s">
        <v>2649</v>
      </c>
      <c r="V248" s="3" t="s">
        <v>2623</v>
      </c>
      <c r="W248" s="3" t="s">
        <v>159</v>
      </c>
      <c r="X248" s="3">
        <f t="shared" si="18"/>
        <v>2</v>
      </c>
      <c r="Y248" s="3" t="s">
        <v>53</v>
      </c>
      <c r="Z248" s="3" t="s">
        <v>53</v>
      </c>
      <c r="AA248" s="3" t="s">
        <v>53</v>
      </c>
      <c r="AB248" s="3" t="str">
        <f t="shared" si="19"/>
        <v>Effective</v>
      </c>
      <c r="AC248" s="3" t="str">
        <f t="shared" si="20"/>
        <v>Low</v>
      </c>
      <c r="AD248" s="3">
        <f t="shared" si="21"/>
        <v>2</v>
      </c>
      <c r="AE248" s="3">
        <f t="shared" si="22"/>
        <v>2</v>
      </c>
      <c r="AF248" s="3" t="s">
        <v>59</v>
      </c>
      <c r="AG248" s="3"/>
      <c r="AH248" s="3"/>
      <c r="AI248" s="3"/>
      <c r="AJ248" s="3"/>
      <c r="AK248" s="3"/>
      <c r="AL248" s="3" t="s">
        <v>60</v>
      </c>
      <c r="AM248" s="3" t="str">
        <f t="shared" si="23"/>
        <v>Should Have</v>
      </c>
    </row>
    <row r="249" spans="1:39" ht="319" x14ac:dyDescent="0.35">
      <c r="A249" s="4">
        <v>248</v>
      </c>
      <c r="B249" s="3" t="s">
        <v>39</v>
      </c>
      <c r="C249" s="3" t="s">
        <v>2547</v>
      </c>
      <c r="D249" s="3" t="s">
        <v>112</v>
      </c>
      <c r="E249" s="3" t="s">
        <v>2548</v>
      </c>
      <c r="F249" s="3" t="s">
        <v>42</v>
      </c>
      <c r="G249" s="3" t="s">
        <v>2224</v>
      </c>
      <c r="H249" s="3" t="s">
        <v>2549</v>
      </c>
      <c r="I249" s="4" t="s">
        <v>2650</v>
      </c>
      <c r="J249" s="3" t="s">
        <v>2651</v>
      </c>
      <c r="K249" s="3" t="s">
        <v>2652</v>
      </c>
      <c r="L249" s="3" t="s">
        <v>2653</v>
      </c>
      <c r="M249" s="3" t="s">
        <v>2654</v>
      </c>
      <c r="N249" s="3" t="s">
        <v>2655</v>
      </c>
      <c r="O249" s="3" t="s">
        <v>2656</v>
      </c>
      <c r="P249" s="3" t="s">
        <v>122</v>
      </c>
      <c r="Q249" s="3" t="s">
        <v>323</v>
      </c>
      <c r="R249" s="3" t="s">
        <v>53</v>
      </c>
      <c r="S249" s="3" t="s">
        <v>2548</v>
      </c>
      <c r="T249" s="3" t="s">
        <v>108</v>
      </c>
      <c r="U249" s="3" t="s">
        <v>2657</v>
      </c>
      <c r="V249" s="3" t="s">
        <v>2566</v>
      </c>
      <c r="W249" s="3" t="s">
        <v>58</v>
      </c>
      <c r="X249" s="3">
        <f t="shared" si="18"/>
        <v>3</v>
      </c>
      <c r="Y249" s="3" t="s">
        <v>53</v>
      </c>
      <c r="Z249" s="3" t="s">
        <v>53</v>
      </c>
      <c r="AA249" s="3" t="s">
        <v>53</v>
      </c>
      <c r="AB249" s="3" t="str">
        <f t="shared" si="19"/>
        <v>Effective</v>
      </c>
      <c r="AC249" s="3" t="str">
        <f t="shared" si="20"/>
        <v>Low</v>
      </c>
      <c r="AD249" s="3">
        <f t="shared" si="21"/>
        <v>3</v>
      </c>
      <c r="AE249" s="3">
        <f t="shared" si="22"/>
        <v>3</v>
      </c>
      <c r="AF249" s="3" t="s">
        <v>59</v>
      </c>
      <c r="AG249" s="3"/>
      <c r="AH249" s="3"/>
      <c r="AI249" s="3"/>
      <c r="AJ249" s="3"/>
      <c r="AK249" s="3"/>
      <c r="AL249" s="3" t="s">
        <v>60</v>
      </c>
      <c r="AM249" s="3" t="str">
        <f t="shared" si="23"/>
        <v>Must Have</v>
      </c>
    </row>
    <row r="250" spans="1:39" ht="333.5" x14ac:dyDescent="0.35">
      <c r="A250" s="4">
        <v>249</v>
      </c>
      <c r="B250" s="3" t="s">
        <v>39</v>
      </c>
      <c r="C250" s="3" t="s">
        <v>2547</v>
      </c>
      <c r="D250" s="3" t="s">
        <v>112</v>
      </c>
      <c r="E250" s="3" t="s">
        <v>2548</v>
      </c>
      <c r="F250" s="3" t="s">
        <v>42</v>
      </c>
      <c r="G250" s="3" t="s">
        <v>2224</v>
      </c>
      <c r="H250" s="3" t="s">
        <v>2549</v>
      </c>
      <c r="I250" s="4" t="s">
        <v>2658</v>
      </c>
      <c r="J250" s="3" t="s">
        <v>2659</v>
      </c>
      <c r="K250" s="3" t="s">
        <v>2660</v>
      </c>
      <c r="L250" s="3" t="s">
        <v>2661</v>
      </c>
      <c r="M250" s="3" t="s">
        <v>2662</v>
      </c>
      <c r="N250" s="3" t="s">
        <v>2663</v>
      </c>
      <c r="O250" s="3" t="s">
        <v>2664</v>
      </c>
      <c r="P250" s="3" t="s">
        <v>51</v>
      </c>
      <c r="Q250" s="3" t="s">
        <v>323</v>
      </c>
      <c r="R250" s="3" t="s">
        <v>154</v>
      </c>
      <c r="S250" s="3" t="s">
        <v>2548</v>
      </c>
      <c r="T250" s="3" t="s">
        <v>108</v>
      </c>
      <c r="U250" s="3" t="s">
        <v>2665</v>
      </c>
      <c r="V250" s="3" t="s">
        <v>2666</v>
      </c>
      <c r="W250" s="3" t="s">
        <v>159</v>
      </c>
      <c r="X250" s="3">
        <f t="shared" si="18"/>
        <v>2</v>
      </c>
      <c r="Y250" s="3" t="s">
        <v>53</v>
      </c>
      <c r="Z250" s="3" t="s">
        <v>53</v>
      </c>
      <c r="AA250" s="3" t="s">
        <v>53</v>
      </c>
      <c r="AB250" s="3" t="str">
        <f t="shared" si="19"/>
        <v>Effective</v>
      </c>
      <c r="AC250" s="3" t="str">
        <f t="shared" si="20"/>
        <v>Low</v>
      </c>
      <c r="AD250" s="3">
        <f t="shared" si="21"/>
        <v>2</v>
      </c>
      <c r="AE250" s="3">
        <f t="shared" si="22"/>
        <v>2</v>
      </c>
      <c r="AF250" s="3" t="s">
        <v>59</v>
      </c>
      <c r="AG250" s="3"/>
      <c r="AH250" s="3"/>
      <c r="AI250" s="3"/>
      <c r="AJ250" s="3"/>
      <c r="AK250" s="3"/>
      <c r="AL250" s="3" t="s">
        <v>60</v>
      </c>
      <c r="AM250" s="3" t="str">
        <f t="shared" si="23"/>
        <v>Should Have</v>
      </c>
    </row>
    <row r="251" spans="1:39" ht="319" x14ac:dyDescent="0.35">
      <c r="A251" s="4">
        <v>250</v>
      </c>
      <c r="B251" s="3" t="s">
        <v>39</v>
      </c>
      <c r="C251" s="3" t="s">
        <v>2547</v>
      </c>
      <c r="D251" s="3" t="s">
        <v>112</v>
      </c>
      <c r="E251" s="3" t="s">
        <v>2548</v>
      </c>
      <c r="F251" s="3" t="s">
        <v>42</v>
      </c>
      <c r="G251" s="3" t="s">
        <v>2224</v>
      </c>
      <c r="H251" s="3" t="s">
        <v>2549</v>
      </c>
      <c r="I251" s="4" t="s">
        <v>2667</v>
      </c>
      <c r="J251" s="3" t="s">
        <v>2668</v>
      </c>
      <c r="K251" s="3" t="s">
        <v>2669</v>
      </c>
      <c r="L251" s="3" t="s">
        <v>2670</v>
      </c>
      <c r="M251" s="3" t="s">
        <v>2671</v>
      </c>
      <c r="N251" s="3" t="s">
        <v>2672</v>
      </c>
      <c r="O251" s="3" t="s">
        <v>2673</v>
      </c>
      <c r="P251" s="3" t="s">
        <v>122</v>
      </c>
      <c r="Q251" s="3" t="s">
        <v>52</v>
      </c>
      <c r="R251" s="3" t="s">
        <v>53</v>
      </c>
      <c r="S251" s="3" t="s">
        <v>2674</v>
      </c>
      <c r="T251" s="3" t="s">
        <v>108</v>
      </c>
      <c r="U251" s="3" t="s">
        <v>2675</v>
      </c>
      <c r="V251" s="3" t="s">
        <v>2676</v>
      </c>
      <c r="W251" s="3" t="s">
        <v>58</v>
      </c>
      <c r="X251" s="3">
        <f t="shared" si="18"/>
        <v>3</v>
      </c>
      <c r="Y251" s="3" t="s">
        <v>53</v>
      </c>
      <c r="Z251" s="3" t="s">
        <v>53</v>
      </c>
      <c r="AA251" s="3" t="s">
        <v>53</v>
      </c>
      <c r="AB251" s="3" t="str">
        <f t="shared" si="19"/>
        <v>Effective</v>
      </c>
      <c r="AC251" s="3" t="str">
        <f t="shared" si="20"/>
        <v>Low</v>
      </c>
      <c r="AD251" s="3">
        <f t="shared" si="21"/>
        <v>3</v>
      </c>
      <c r="AE251" s="3">
        <f t="shared" si="22"/>
        <v>3</v>
      </c>
      <c r="AF251" s="3" t="s">
        <v>59</v>
      </c>
      <c r="AG251" s="3"/>
      <c r="AH251" s="3"/>
      <c r="AI251" s="3"/>
      <c r="AJ251" s="3"/>
      <c r="AK251" s="3"/>
      <c r="AL251" s="3" t="s">
        <v>60</v>
      </c>
      <c r="AM251" s="3" t="str">
        <f t="shared" si="23"/>
        <v>Must Have</v>
      </c>
    </row>
    <row r="252" spans="1:39" ht="348" x14ac:dyDescent="0.35">
      <c r="A252" s="4">
        <v>251</v>
      </c>
      <c r="B252" s="3" t="s">
        <v>39</v>
      </c>
      <c r="C252" s="3" t="s">
        <v>2677</v>
      </c>
      <c r="D252" s="3" t="s">
        <v>639</v>
      </c>
      <c r="E252" s="3" t="s">
        <v>2678</v>
      </c>
      <c r="F252" s="3" t="s">
        <v>42</v>
      </c>
      <c r="G252" s="3" t="s">
        <v>2224</v>
      </c>
      <c r="H252" s="3" t="s">
        <v>2679</v>
      </c>
      <c r="I252" s="4" t="s">
        <v>2680</v>
      </c>
      <c r="J252" s="3" t="s">
        <v>2681</v>
      </c>
      <c r="K252" s="3" t="s">
        <v>2682</v>
      </c>
      <c r="L252" s="3" t="s">
        <v>2683</v>
      </c>
      <c r="M252" s="3" t="s">
        <v>2684</v>
      </c>
      <c r="N252" s="3" t="s">
        <v>2685</v>
      </c>
      <c r="O252" s="3" t="s">
        <v>2686</v>
      </c>
      <c r="P252" s="3" t="s">
        <v>51</v>
      </c>
      <c r="Q252" s="3" t="s">
        <v>52</v>
      </c>
      <c r="R252" s="3" t="s">
        <v>53</v>
      </c>
      <c r="S252" s="3" t="s">
        <v>2687</v>
      </c>
      <c r="T252" s="3" t="s">
        <v>68</v>
      </c>
      <c r="U252" s="3" t="s">
        <v>2688</v>
      </c>
      <c r="V252" s="3" t="s">
        <v>2689</v>
      </c>
      <c r="W252" s="3" t="s">
        <v>58</v>
      </c>
      <c r="X252" s="3">
        <f t="shared" si="18"/>
        <v>3</v>
      </c>
      <c r="Y252" s="3" t="s">
        <v>53</v>
      </c>
      <c r="Z252" s="3" t="s">
        <v>53</v>
      </c>
      <c r="AA252" s="3" t="s">
        <v>53</v>
      </c>
      <c r="AB252" s="3" t="str">
        <f t="shared" si="19"/>
        <v>Effective</v>
      </c>
      <c r="AC252" s="3" t="str">
        <f t="shared" si="20"/>
        <v>Low</v>
      </c>
      <c r="AD252" s="3">
        <f t="shared" si="21"/>
        <v>3</v>
      </c>
      <c r="AE252" s="3">
        <f t="shared" si="22"/>
        <v>3</v>
      </c>
      <c r="AF252" s="3" t="s">
        <v>59</v>
      </c>
      <c r="AG252" s="3"/>
      <c r="AH252" s="3"/>
      <c r="AI252" s="3"/>
      <c r="AJ252" s="3"/>
      <c r="AK252" s="3"/>
      <c r="AL252" s="3" t="s">
        <v>60</v>
      </c>
      <c r="AM252" s="3" t="str">
        <f t="shared" si="23"/>
        <v>Must Have</v>
      </c>
    </row>
    <row r="253" spans="1:39" ht="319" x14ac:dyDescent="0.35">
      <c r="A253" s="4">
        <v>252</v>
      </c>
      <c r="B253" s="3" t="s">
        <v>39</v>
      </c>
      <c r="C253" s="3" t="s">
        <v>2677</v>
      </c>
      <c r="D253" s="3" t="s">
        <v>639</v>
      </c>
      <c r="E253" s="3" t="s">
        <v>2678</v>
      </c>
      <c r="F253" s="3" t="s">
        <v>42</v>
      </c>
      <c r="G253" s="3" t="s">
        <v>2224</v>
      </c>
      <c r="H253" s="3" t="s">
        <v>2679</v>
      </c>
      <c r="I253" s="4" t="s">
        <v>2690</v>
      </c>
      <c r="J253" s="3" t="s">
        <v>2691</v>
      </c>
      <c r="K253" s="3" t="s">
        <v>2692</v>
      </c>
      <c r="L253" s="3" t="s">
        <v>2693</v>
      </c>
      <c r="M253" s="3" t="s">
        <v>2694</v>
      </c>
      <c r="N253" s="3" t="s">
        <v>2695</v>
      </c>
      <c r="O253" s="3" t="s">
        <v>2696</v>
      </c>
      <c r="P253" s="3" t="s">
        <v>51</v>
      </c>
      <c r="Q253" s="3" t="s">
        <v>52</v>
      </c>
      <c r="R253" s="3" t="s">
        <v>53</v>
      </c>
      <c r="S253" s="3" t="s">
        <v>2697</v>
      </c>
      <c r="T253" s="3" t="s">
        <v>2698</v>
      </c>
      <c r="U253" s="3" t="s">
        <v>2699</v>
      </c>
      <c r="V253" s="3" t="s">
        <v>2700</v>
      </c>
      <c r="W253" s="3" t="s">
        <v>58</v>
      </c>
      <c r="X253" s="3">
        <f t="shared" si="18"/>
        <v>3</v>
      </c>
      <c r="Y253" s="3" t="s">
        <v>53</v>
      </c>
      <c r="Z253" s="3" t="s">
        <v>53</v>
      </c>
      <c r="AA253" s="3" t="s">
        <v>53</v>
      </c>
      <c r="AB253" s="3" t="str">
        <f t="shared" si="19"/>
        <v>Effective</v>
      </c>
      <c r="AC253" s="3" t="str">
        <f t="shared" si="20"/>
        <v>Low</v>
      </c>
      <c r="AD253" s="3">
        <f t="shared" si="21"/>
        <v>3</v>
      </c>
      <c r="AE253" s="3">
        <f t="shared" si="22"/>
        <v>3</v>
      </c>
      <c r="AF253" s="3" t="s">
        <v>59</v>
      </c>
      <c r="AG253" s="3"/>
      <c r="AH253" s="3"/>
      <c r="AI253" s="3"/>
      <c r="AJ253" s="3"/>
      <c r="AK253" s="3"/>
      <c r="AL253" s="3" t="s">
        <v>60</v>
      </c>
      <c r="AM253" s="3" t="str">
        <f t="shared" si="23"/>
        <v>Must Have</v>
      </c>
    </row>
    <row r="254" spans="1:39" ht="348" x14ac:dyDescent="0.35">
      <c r="A254" s="4">
        <v>253</v>
      </c>
      <c r="B254" s="3" t="s">
        <v>39</v>
      </c>
      <c r="C254" s="3" t="s">
        <v>2677</v>
      </c>
      <c r="D254" s="3" t="s">
        <v>639</v>
      </c>
      <c r="E254" s="3" t="s">
        <v>2678</v>
      </c>
      <c r="F254" s="3" t="s">
        <v>42</v>
      </c>
      <c r="G254" s="3" t="s">
        <v>2224</v>
      </c>
      <c r="H254" s="3" t="s">
        <v>2679</v>
      </c>
      <c r="I254" s="4" t="s">
        <v>2701</v>
      </c>
      <c r="J254" s="3" t="s">
        <v>2702</v>
      </c>
      <c r="K254" s="3" t="s">
        <v>2703</v>
      </c>
      <c r="L254" s="3" t="s">
        <v>2704</v>
      </c>
      <c r="M254" s="3" t="s">
        <v>2705</v>
      </c>
      <c r="N254" s="3" t="s">
        <v>2706</v>
      </c>
      <c r="O254" s="3" t="s">
        <v>2707</v>
      </c>
      <c r="P254" s="3" t="s">
        <v>51</v>
      </c>
      <c r="Q254" s="3" t="s">
        <v>153</v>
      </c>
      <c r="R254" s="3" t="s">
        <v>154</v>
      </c>
      <c r="S254" s="3" t="s">
        <v>2697</v>
      </c>
      <c r="T254" s="3" t="s">
        <v>68</v>
      </c>
      <c r="U254" s="3" t="s">
        <v>2708</v>
      </c>
      <c r="V254" s="3" t="s">
        <v>2709</v>
      </c>
      <c r="W254" s="3" t="s">
        <v>159</v>
      </c>
      <c r="X254" s="3">
        <f t="shared" si="18"/>
        <v>2</v>
      </c>
      <c r="Y254" s="3" t="s">
        <v>53</v>
      </c>
      <c r="Z254" s="3" t="s">
        <v>53</v>
      </c>
      <c r="AA254" s="3" t="s">
        <v>53</v>
      </c>
      <c r="AB254" s="3" t="str">
        <f t="shared" si="19"/>
        <v>Effective</v>
      </c>
      <c r="AC254" s="3" t="str">
        <f t="shared" si="20"/>
        <v>Low</v>
      </c>
      <c r="AD254" s="3">
        <f t="shared" si="21"/>
        <v>2</v>
      </c>
      <c r="AE254" s="3">
        <f t="shared" si="22"/>
        <v>2</v>
      </c>
      <c r="AF254" s="3" t="s">
        <v>59</v>
      </c>
      <c r="AG254" s="3"/>
      <c r="AH254" s="3"/>
      <c r="AI254" s="3"/>
      <c r="AJ254" s="3"/>
      <c r="AK254" s="3"/>
      <c r="AL254" s="3" t="s">
        <v>60</v>
      </c>
      <c r="AM254" s="3" t="str">
        <f t="shared" si="23"/>
        <v>Should Have</v>
      </c>
    </row>
    <row r="255" spans="1:39" ht="319" x14ac:dyDescent="0.35">
      <c r="A255" s="4">
        <v>254</v>
      </c>
      <c r="B255" s="3" t="s">
        <v>39</v>
      </c>
      <c r="C255" s="3" t="s">
        <v>2677</v>
      </c>
      <c r="D255" s="3" t="s">
        <v>639</v>
      </c>
      <c r="E255" s="3" t="s">
        <v>2678</v>
      </c>
      <c r="F255" s="3" t="s">
        <v>114</v>
      </c>
      <c r="G255" s="3" t="s">
        <v>2224</v>
      </c>
      <c r="H255" s="3" t="s">
        <v>2679</v>
      </c>
      <c r="I255" s="4" t="s">
        <v>2710</v>
      </c>
      <c r="J255" s="3" t="s">
        <v>2711</v>
      </c>
      <c r="K255" s="3" t="s">
        <v>2712</v>
      </c>
      <c r="L255" s="3" t="s">
        <v>2713</v>
      </c>
      <c r="M255" s="3" t="s">
        <v>2714</v>
      </c>
      <c r="N255" s="3" t="s">
        <v>2715</v>
      </c>
      <c r="O255" s="3" t="s">
        <v>2716</v>
      </c>
      <c r="P255" s="3" t="s">
        <v>51</v>
      </c>
      <c r="Q255" s="3" t="s">
        <v>52</v>
      </c>
      <c r="R255" s="3" t="s">
        <v>53</v>
      </c>
      <c r="S255" s="3" t="s">
        <v>2717</v>
      </c>
      <c r="T255" s="3" t="s">
        <v>2698</v>
      </c>
      <c r="U255" s="3" t="s">
        <v>2718</v>
      </c>
      <c r="V255" s="3" t="s">
        <v>2719</v>
      </c>
      <c r="W255" s="3" t="s">
        <v>58</v>
      </c>
      <c r="X255" s="3">
        <f t="shared" si="18"/>
        <v>3</v>
      </c>
      <c r="Y255" s="3" t="s">
        <v>53</v>
      </c>
      <c r="Z255" s="3" t="s">
        <v>53</v>
      </c>
      <c r="AA255" s="3" t="s">
        <v>53</v>
      </c>
      <c r="AB255" s="3" t="str">
        <f t="shared" si="19"/>
        <v>Effective</v>
      </c>
      <c r="AC255" s="3" t="str">
        <f t="shared" si="20"/>
        <v>Low</v>
      </c>
      <c r="AD255" s="3">
        <f t="shared" si="21"/>
        <v>3</v>
      </c>
      <c r="AE255" s="3">
        <f t="shared" si="22"/>
        <v>3</v>
      </c>
      <c r="AF255" s="3" t="s">
        <v>59</v>
      </c>
      <c r="AG255" s="3"/>
      <c r="AH255" s="3"/>
      <c r="AI255" s="3"/>
      <c r="AJ255" s="3"/>
      <c r="AK255" s="3"/>
      <c r="AL255" s="3" t="s">
        <v>60</v>
      </c>
      <c r="AM255" s="3" t="str">
        <f t="shared" si="23"/>
        <v>Must Have</v>
      </c>
    </row>
    <row r="256" spans="1:39" ht="362.5" x14ac:dyDescent="0.35">
      <c r="A256" s="4">
        <v>255</v>
      </c>
      <c r="B256" s="3" t="s">
        <v>39</v>
      </c>
      <c r="C256" s="3" t="s">
        <v>2677</v>
      </c>
      <c r="D256" s="3" t="s">
        <v>639</v>
      </c>
      <c r="E256" s="3" t="s">
        <v>2678</v>
      </c>
      <c r="F256" s="3" t="s">
        <v>42</v>
      </c>
      <c r="G256" s="3" t="s">
        <v>2224</v>
      </c>
      <c r="H256" s="3" t="s">
        <v>2679</v>
      </c>
      <c r="I256" s="4" t="s">
        <v>2720</v>
      </c>
      <c r="J256" s="3" t="s">
        <v>2721</v>
      </c>
      <c r="K256" s="3" t="s">
        <v>2722</v>
      </c>
      <c r="L256" s="3" t="s">
        <v>2723</v>
      </c>
      <c r="M256" s="3" t="s">
        <v>2724</v>
      </c>
      <c r="N256" s="3" t="s">
        <v>2725</v>
      </c>
      <c r="O256" s="3" t="s">
        <v>2726</v>
      </c>
      <c r="P256" s="3" t="s">
        <v>51</v>
      </c>
      <c r="Q256" s="3" t="s">
        <v>52</v>
      </c>
      <c r="R256" s="3" t="s">
        <v>53</v>
      </c>
      <c r="S256" s="3" t="s">
        <v>2727</v>
      </c>
      <c r="T256" s="3" t="s">
        <v>2698</v>
      </c>
      <c r="U256" s="3" t="s">
        <v>2728</v>
      </c>
      <c r="V256" s="3" t="s">
        <v>2729</v>
      </c>
      <c r="W256" s="3" t="s">
        <v>58</v>
      </c>
      <c r="X256" s="3">
        <f t="shared" si="18"/>
        <v>3</v>
      </c>
      <c r="Y256" s="3" t="s">
        <v>53</v>
      </c>
      <c r="Z256" s="3" t="s">
        <v>53</v>
      </c>
      <c r="AA256" s="3" t="s">
        <v>53</v>
      </c>
      <c r="AB256" s="3" t="str">
        <f t="shared" si="19"/>
        <v>Effective</v>
      </c>
      <c r="AC256" s="3" t="str">
        <f t="shared" si="20"/>
        <v>Low</v>
      </c>
      <c r="AD256" s="3">
        <f t="shared" si="21"/>
        <v>3</v>
      </c>
      <c r="AE256" s="3">
        <f t="shared" si="22"/>
        <v>3</v>
      </c>
      <c r="AF256" s="3" t="s">
        <v>59</v>
      </c>
      <c r="AG256" s="3"/>
      <c r="AH256" s="3"/>
      <c r="AI256" s="3"/>
      <c r="AJ256" s="3"/>
      <c r="AK256" s="3"/>
      <c r="AL256" s="3" t="s">
        <v>60</v>
      </c>
      <c r="AM256" s="3" t="str">
        <f t="shared" si="23"/>
        <v>Must Have</v>
      </c>
    </row>
    <row r="257" spans="1:39" ht="304.5" x14ac:dyDescent="0.35">
      <c r="A257" s="4">
        <v>256</v>
      </c>
      <c r="B257" s="3" t="s">
        <v>39</v>
      </c>
      <c r="C257" s="3" t="s">
        <v>2677</v>
      </c>
      <c r="D257" s="3" t="s">
        <v>639</v>
      </c>
      <c r="E257" s="3" t="s">
        <v>2678</v>
      </c>
      <c r="F257" s="3" t="s">
        <v>42</v>
      </c>
      <c r="G257" s="3" t="s">
        <v>2224</v>
      </c>
      <c r="H257" s="3" t="s">
        <v>2679</v>
      </c>
      <c r="I257" s="4" t="s">
        <v>2730</v>
      </c>
      <c r="J257" s="3" t="s">
        <v>2731</v>
      </c>
      <c r="K257" s="3" t="s">
        <v>2732</v>
      </c>
      <c r="L257" s="3" t="s">
        <v>2733</v>
      </c>
      <c r="M257" s="3" t="s">
        <v>2734</v>
      </c>
      <c r="N257" s="3" t="s">
        <v>2735</v>
      </c>
      <c r="O257" s="3" t="s">
        <v>2736</v>
      </c>
      <c r="P257" s="3" t="s">
        <v>51</v>
      </c>
      <c r="Q257" s="3" t="s">
        <v>52</v>
      </c>
      <c r="R257" s="3" t="s">
        <v>53</v>
      </c>
      <c r="S257" s="3" t="s">
        <v>2737</v>
      </c>
      <c r="T257" s="3" t="s">
        <v>2738</v>
      </c>
      <c r="U257" s="3" t="s">
        <v>2739</v>
      </c>
      <c r="V257" s="3" t="s">
        <v>2740</v>
      </c>
      <c r="W257" s="3" t="s">
        <v>58</v>
      </c>
      <c r="X257" s="3">
        <f t="shared" si="18"/>
        <v>3</v>
      </c>
      <c r="Y257" s="3" t="s">
        <v>53</v>
      </c>
      <c r="Z257" s="3" t="s">
        <v>53</v>
      </c>
      <c r="AA257" s="3" t="s">
        <v>53</v>
      </c>
      <c r="AB257" s="3" t="str">
        <f t="shared" si="19"/>
        <v>Effective</v>
      </c>
      <c r="AC257" s="3" t="str">
        <f t="shared" si="20"/>
        <v>Low</v>
      </c>
      <c r="AD257" s="3">
        <f t="shared" si="21"/>
        <v>3</v>
      </c>
      <c r="AE257" s="3">
        <f t="shared" si="22"/>
        <v>3</v>
      </c>
      <c r="AF257" s="3" t="s">
        <v>59</v>
      </c>
      <c r="AG257" s="3"/>
      <c r="AH257" s="3"/>
      <c r="AI257" s="3"/>
      <c r="AJ257" s="3"/>
      <c r="AK257" s="3"/>
      <c r="AL257" s="3" t="s">
        <v>60</v>
      </c>
      <c r="AM257" s="3" t="str">
        <f t="shared" si="23"/>
        <v>Must Have</v>
      </c>
    </row>
    <row r="258" spans="1:39" ht="362.5" x14ac:dyDescent="0.35">
      <c r="A258" s="4">
        <v>257</v>
      </c>
      <c r="B258" s="3" t="s">
        <v>39</v>
      </c>
      <c r="C258" s="3" t="s">
        <v>2677</v>
      </c>
      <c r="D258" s="3" t="s">
        <v>639</v>
      </c>
      <c r="E258" s="3" t="s">
        <v>2678</v>
      </c>
      <c r="F258" s="3" t="s">
        <v>42</v>
      </c>
      <c r="G258" s="3" t="s">
        <v>2224</v>
      </c>
      <c r="H258" s="3" t="s">
        <v>2679</v>
      </c>
      <c r="I258" s="4" t="s">
        <v>2741</v>
      </c>
      <c r="J258" s="3" t="s">
        <v>2742</v>
      </c>
      <c r="K258" s="3" t="s">
        <v>2743</v>
      </c>
      <c r="L258" s="3" t="s">
        <v>2744</v>
      </c>
      <c r="M258" s="3" t="s">
        <v>2745</v>
      </c>
      <c r="N258" s="3" t="s">
        <v>2746</v>
      </c>
      <c r="O258" s="3" t="s">
        <v>2747</v>
      </c>
      <c r="P258" s="3" t="s">
        <v>51</v>
      </c>
      <c r="Q258" s="3" t="s">
        <v>52</v>
      </c>
      <c r="R258" s="3" t="s">
        <v>154</v>
      </c>
      <c r="S258" s="3" t="s">
        <v>2748</v>
      </c>
      <c r="T258" s="3" t="s">
        <v>2698</v>
      </c>
      <c r="U258" s="3" t="s">
        <v>2749</v>
      </c>
      <c r="V258" s="3" t="s">
        <v>2750</v>
      </c>
      <c r="W258" s="3" t="s">
        <v>159</v>
      </c>
      <c r="X258" s="3">
        <f t="shared" ref="X258:X317" si="24">IF(W258="","",IF(W258="Critical",4,IF(W258="High",3,IF(W258="Medium",2,IF(W258="Low",1,"")))))</f>
        <v>2</v>
      </c>
      <c r="Y258" s="3" t="s">
        <v>53</v>
      </c>
      <c r="Z258" s="3" t="s">
        <v>53</v>
      </c>
      <c r="AA258" s="3" t="s">
        <v>53</v>
      </c>
      <c r="AB258" s="3" t="str">
        <f t="shared" ref="AB258:AB317" si="25">IF(OR(Y258="",Z258=""),"",IF(AND(Y258="Y",Z258="Y"),"Effective",IF(AND(Y258="N",Z258="N"),"Ineffective","Partially Effective")))</f>
        <v>Effective</v>
      </c>
      <c r="AC258" s="3" t="str">
        <f t="shared" ref="AC258:AC317" si="26">IF(OR(W258="",AB258=""),"",IF(AB258="Effective",IF(W258="Critical","Medium","Low"),IF(AB258="Partially Effective",IF(W258="Critical","High",IF(W258="High","Medium",W258)),W258)))</f>
        <v>Low</v>
      </c>
      <c r="AD258" s="3">
        <f t="shared" ref="AD258:AD317" si="27">IF(OR(AA258="",AA258="NA",X258=""),"",IF(AA258="Y",X258,IF(AA258="P",X258*0.5,IF(AA258="N",0,""))))</f>
        <v>2</v>
      </c>
      <c r="AE258" s="3">
        <f t="shared" ref="AE258:AE317" si="28">IF(OR(AA258="",AA258="NA",X258=""),"",X258)</f>
        <v>2</v>
      </c>
      <c r="AF258" s="3" t="s">
        <v>59</v>
      </c>
      <c r="AG258" s="3"/>
      <c r="AH258" s="3"/>
      <c r="AI258" s="3"/>
      <c r="AJ258" s="3"/>
      <c r="AK258" s="3"/>
      <c r="AL258" s="3" t="s">
        <v>60</v>
      </c>
      <c r="AM258" s="3" t="str">
        <f t="shared" ref="AM258:AM317" si="29">IF(OR(W258="",R258=""),"",IF(AND(R258="Y",OR(W258="Critical",W258="High")),"Must Have","Should Have"))</f>
        <v>Should Have</v>
      </c>
    </row>
    <row r="259" spans="1:39" ht="333.5" x14ac:dyDescent="0.35">
      <c r="A259" s="4">
        <v>258</v>
      </c>
      <c r="B259" s="3" t="s">
        <v>39</v>
      </c>
      <c r="C259" s="3" t="s">
        <v>2677</v>
      </c>
      <c r="D259" s="3" t="s">
        <v>639</v>
      </c>
      <c r="E259" s="3" t="s">
        <v>2678</v>
      </c>
      <c r="F259" s="3" t="s">
        <v>527</v>
      </c>
      <c r="G259" s="3" t="s">
        <v>2224</v>
      </c>
      <c r="H259" s="3" t="s">
        <v>2679</v>
      </c>
      <c r="I259" s="4" t="s">
        <v>2751</v>
      </c>
      <c r="J259" s="3" t="s">
        <v>2752</v>
      </c>
      <c r="K259" s="3" t="s">
        <v>2753</v>
      </c>
      <c r="L259" s="3" t="s">
        <v>2754</v>
      </c>
      <c r="M259" s="3" t="s">
        <v>2755</v>
      </c>
      <c r="N259" s="3" t="s">
        <v>2756</v>
      </c>
      <c r="O259" s="3" t="s">
        <v>2757</v>
      </c>
      <c r="P259" s="3" t="s">
        <v>51</v>
      </c>
      <c r="Q259" s="3" t="s">
        <v>52</v>
      </c>
      <c r="R259" s="3" t="s">
        <v>53</v>
      </c>
      <c r="S259" s="3" t="s">
        <v>2758</v>
      </c>
      <c r="T259" s="3" t="s">
        <v>2698</v>
      </c>
      <c r="U259" s="3" t="s">
        <v>2759</v>
      </c>
      <c r="V259" s="3" t="s">
        <v>2760</v>
      </c>
      <c r="W259" s="3" t="s">
        <v>58</v>
      </c>
      <c r="X259" s="3">
        <f t="shared" si="24"/>
        <v>3</v>
      </c>
      <c r="Y259" s="3" t="s">
        <v>53</v>
      </c>
      <c r="Z259" s="3" t="s">
        <v>53</v>
      </c>
      <c r="AA259" s="3" t="s">
        <v>53</v>
      </c>
      <c r="AB259" s="3" t="str">
        <f t="shared" si="25"/>
        <v>Effective</v>
      </c>
      <c r="AC259" s="3" t="str">
        <f t="shared" si="26"/>
        <v>Low</v>
      </c>
      <c r="AD259" s="3">
        <f t="shared" si="27"/>
        <v>3</v>
      </c>
      <c r="AE259" s="3">
        <f t="shared" si="28"/>
        <v>3</v>
      </c>
      <c r="AF259" s="3" t="s">
        <v>59</v>
      </c>
      <c r="AG259" s="3"/>
      <c r="AH259" s="3"/>
      <c r="AI259" s="3"/>
      <c r="AJ259" s="3"/>
      <c r="AK259" s="3"/>
      <c r="AL259" s="3" t="s">
        <v>60</v>
      </c>
      <c r="AM259" s="3" t="str">
        <f t="shared" si="29"/>
        <v>Must Have</v>
      </c>
    </row>
    <row r="260" spans="1:39" ht="319" x14ac:dyDescent="0.35">
      <c r="A260" s="4">
        <v>259</v>
      </c>
      <c r="B260" s="3" t="s">
        <v>39</v>
      </c>
      <c r="C260" s="3" t="s">
        <v>2677</v>
      </c>
      <c r="D260" s="3" t="s">
        <v>639</v>
      </c>
      <c r="E260" s="3" t="s">
        <v>2678</v>
      </c>
      <c r="F260" s="3" t="s">
        <v>42</v>
      </c>
      <c r="G260" s="3" t="s">
        <v>2224</v>
      </c>
      <c r="H260" s="3" t="s">
        <v>2679</v>
      </c>
      <c r="I260" s="4" t="s">
        <v>2761</v>
      </c>
      <c r="J260" s="3" t="s">
        <v>2762</v>
      </c>
      <c r="K260" s="3" t="s">
        <v>2763</v>
      </c>
      <c r="L260" s="3" t="s">
        <v>2764</v>
      </c>
      <c r="M260" s="3" t="s">
        <v>2765</v>
      </c>
      <c r="N260" s="3" t="s">
        <v>2766</v>
      </c>
      <c r="O260" s="3" t="s">
        <v>2767</v>
      </c>
      <c r="P260" s="3" t="s">
        <v>122</v>
      </c>
      <c r="Q260" s="3" t="s">
        <v>153</v>
      </c>
      <c r="R260" s="3" t="s">
        <v>53</v>
      </c>
      <c r="S260" s="3" t="s">
        <v>2748</v>
      </c>
      <c r="T260" s="3" t="s">
        <v>1139</v>
      </c>
      <c r="U260" s="3" t="s">
        <v>2768</v>
      </c>
      <c r="V260" s="3" t="s">
        <v>2769</v>
      </c>
      <c r="W260" s="3" t="s">
        <v>58</v>
      </c>
      <c r="X260" s="3">
        <f t="shared" si="24"/>
        <v>3</v>
      </c>
      <c r="Y260" s="3" t="s">
        <v>53</v>
      </c>
      <c r="Z260" s="3" t="s">
        <v>53</v>
      </c>
      <c r="AA260" s="3" t="s">
        <v>53</v>
      </c>
      <c r="AB260" s="3" t="str">
        <f t="shared" si="25"/>
        <v>Effective</v>
      </c>
      <c r="AC260" s="3" t="str">
        <f t="shared" si="26"/>
        <v>Low</v>
      </c>
      <c r="AD260" s="3">
        <f t="shared" si="27"/>
        <v>3</v>
      </c>
      <c r="AE260" s="3">
        <f t="shared" si="28"/>
        <v>3</v>
      </c>
      <c r="AF260" s="3" t="s">
        <v>59</v>
      </c>
      <c r="AG260" s="3"/>
      <c r="AH260" s="3"/>
      <c r="AI260" s="3"/>
      <c r="AJ260" s="3"/>
      <c r="AK260" s="3"/>
      <c r="AL260" s="3" t="s">
        <v>60</v>
      </c>
      <c r="AM260" s="3" t="str">
        <f t="shared" si="29"/>
        <v>Must Have</v>
      </c>
    </row>
    <row r="261" spans="1:39" ht="319" x14ac:dyDescent="0.35">
      <c r="A261" s="4">
        <v>260</v>
      </c>
      <c r="B261" s="3" t="s">
        <v>39</v>
      </c>
      <c r="C261" s="3" t="s">
        <v>2677</v>
      </c>
      <c r="D261" s="3" t="s">
        <v>639</v>
      </c>
      <c r="E261" s="3" t="s">
        <v>2678</v>
      </c>
      <c r="F261" s="3" t="s">
        <v>114</v>
      </c>
      <c r="G261" s="3" t="s">
        <v>2224</v>
      </c>
      <c r="H261" s="3" t="s">
        <v>2679</v>
      </c>
      <c r="I261" s="4" t="s">
        <v>2770</v>
      </c>
      <c r="J261" s="3" t="s">
        <v>2771</v>
      </c>
      <c r="K261" s="3" t="s">
        <v>2772</v>
      </c>
      <c r="L261" s="3" t="s">
        <v>2773</v>
      </c>
      <c r="M261" s="3" t="s">
        <v>2774</v>
      </c>
      <c r="N261" s="3" t="s">
        <v>2775</v>
      </c>
      <c r="O261" s="3" t="s">
        <v>2776</v>
      </c>
      <c r="P261" s="3" t="s">
        <v>51</v>
      </c>
      <c r="Q261" s="3" t="s">
        <v>153</v>
      </c>
      <c r="R261" s="3" t="s">
        <v>53</v>
      </c>
      <c r="S261" s="3" t="s">
        <v>2777</v>
      </c>
      <c r="T261" s="3" t="s">
        <v>68</v>
      </c>
      <c r="U261" s="3" t="s">
        <v>2778</v>
      </c>
      <c r="V261" s="3" t="s">
        <v>2779</v>
      </c>
      <c r="W261" s="3" t="s">
        <v>58</v>
      </c>
      <c r="X261" s="3">
        <f t="shared" si="24"/>
        <v>3</v>
      </c>
      <c r="Y261" s="3" t="s">
        <v>53</v>
      </c>
      <c r="Z261" s="3" t="s">
        <v>53</v>
      </c>
      <c r="AA261" s="3" t="s">
        <v>53</v>
      </c>
      <c r="AB261" s="3" t="str">
        <f t="shared" si="25"/>
        <v>Effective</v>
      </c>
      <c r="AC261" s="3" t="str">
        <f t="shared" si="26"/>
        <v>Low</v>
      </c>
      <c r="AD261" s="3">
        <f t="shared" si="27"/>
        <v>3</v>
      </c>
      <c r="AE261" s="3">
        <f t="shared" si="28"/>
        <v>3</v>
      </c>
      <c r="AF261" s="3" t="s">
        <v>59</v>
      </c>
      <c r="AG261" s="3"/>
      <c r="AH261" s="3"/>
      <c r="AI261" s="3"/>
      <c r="AJ261" s="3"/>
      <c r="AK261" s="3"/>
      <c r="AL261" s="3" t="s">
        <v>60</v>
      </c>
      <c r="AM261" s="3" t="str">
        <f t="shared" si="29"/>
        <v>Must Have</v>
      </c>
    </row>
    <row r="262" spans="1:39" ht="348" x14ac:dyDescent="0.35">
      <c r="A262" s="4">
        <v>261</v>
      </c>
      <c r="B262" s="3" t="s">
        <v>39</v>
      </c>
      <c r="C262" s="3" t="s">
        <v>2677</v>
      </c>
      <c r="D262" s="3" t="s">
        <v>639</v>
      </c>
      <c r="E262" s="3" t="s">
        <v>2678</v>
      </c>
      <c r="F262" s="3" t="s">
        <v>42</v>
      </c>
      <c r="G262" s="3" t="s">
        <v>2224</v>
      </c>
      <c r="H262" s="3" t="s">
        <v>2679</v>
      </c>
      <c r="I262" s="4" t="s">
        <v>2780</v>
      </c>
      <c r="J262" s="3" t="s">
        <v>2781</v>
      </c>
      <c r="K262" s="3" t="s">
        <v>2782</v>
      </c>
      <c r="L262" s="3" t="s">
        <v>2783</v>
      </c>
      <c r="M262" s="3" t="s">
        <v>2784</v>
      </c>
      <c r="N262" s="3" t="s">
        <v>2785</v>
      </c>
      <c r="O262" s="3" t="s">
        <v>2786</v>
      </c>
      <c r="P262" s="3" t="s">
        <v>51</v>
      </c>
      <c r="Q262" s="3" t="s">
        <v>153</v>
      </c>
      <c r="R262" s="3" t="s">
        <v>154</v>
      </c>
      <c r="S262" s="3" t="s">
        <v>2023</v>
      </c>
      <c r="T262" s="3" t="s">
        <v>68</v>
      </c>
      <c r="U262" s="3" t="s">
        <v>2787</v>
      </c>
      <c r="V262" s="3" t="s">
        <v>2788</v>
      </c>
      <c r="W262" s="3" t="s">
        <v>159</v>
      </c>
      <c r="X262" s="3">
        <f t="shared" si="24"/>
        <v>2</v>
      </c>
      <c r="Y262" s="3" t="s">
        <v>53</v>
      </c>
      <c r="Z262" s="3" t="s">
        <v>53</v>
      </c>
      <c r="AA262" s="3" t="s">
        <v>53</v>
      </c>
      <c r="AB262" s="3" t="str">
        <f t="shared" si="25"/>
        <v>Effective</v>
      </c>
      <c r="AC262" s="3" t="str">
        <f t="shared" si="26"/>
        <v>Low</v>
      </c>
      <c r="AD262" s="3">
        <f t="shared" si="27"/>
        <v>2</v>
      </c>
      <c r="AE262" s="3">
        <f t="shared" si="28"/>
        <v>2</v>
      </c>
      <c r="AF262" s="3" t="s">
        <v>59</v>
      </c>
      <c r="AG262" s="3"/>
      <c r="AH262" s="3"/>
      <c r="AI262" s="3"/>
      <c r="AJ262" s="3"/>
      <c r="AK262" s="3"/>
      <c r="AL262" s="3" t="s">
        <v>60</v>
      </c>
      <c r="AM262" s="3" t="str">
        <f t="shared" si="29"/>
        <v>Should Have</v>
      </c>
    </row>
    <row r="263" spans="1:39" ht="304.5" x14ac:dyDescent="0.35">
      <c r="A263" s="4">
        <v>262</v>
      </c>
      <c r="B263" s="3" t="s">
        <v>39</v>
      </c>
      <c r="C263" s="3" t="s">
        <v>2677</v>
      </c>
      <c r="D263" s="3" t="s">
        <v>639</v>
      </c>
      <c r="E263" s="3" t="s">
        <v>2678</v>
      </c>
      <c r="F263" s="3" t="s">
        <v>42</v>
      </c>
      <c r="G263" s="3" t="s">
        <v>2224</v>
      </c>
      <c r="H263" s="3" t="s">
        <v>2679</v>
      </c>
      <c r="I263" s="4" t="s">
        <v>2789</v>
      </c>
      <c r="J263" s="3" t="s">
        <v>2790</v>
      </c>
      <c r="K263" s="3" t="s">
        <v>2791</v>
      </c>
      <c r="L263" s="3" t="s">
        <v>2792</v>
      </c>
      <c r="M263" s="3" t="s">
        <v>2793</v>
      </c>
      <c r="N263" s="3" t="s">
        <v>2794</v>
      </c>
      <c r="O263" s="3" t="s">
        <v>2795</v>
      </c>
      <c r="P263" s="3" t="s">
        <v>51</v>
      </c>
      <c r="Q263" s="3" t="s">
        <v>52</v>
      </c>
      <c r="R263" s="3" t="s">
        <v>53</v>
      </c>
      <c r="S263" s="3" t="s">
        <v>2796</v>
      </c>
      <c r="T263" s="3" t="s">
        <v>68</v>
      </c>
      <c r="U263" s="3" t="s">
        <v>2797</v>
      </c>
      <c r="V263" s="3" t="s">
        <v>2798</v>
      </c>
      <c r="W263" s="3" t="s">
        <v>58</v>
      </c>
      <c r="X263" s="3">
        <f t="shared" si="24"/>
        <v>3</v>
      </c>
      <c r="Y263" s="3" t="s">
        <v>53</v>
      </c>
      <c r="Z263" s="3" t="s">
        <v>53</v>
      </c>
      <c r="AA263" s="3" t="s">
        <v>53</v>
      </c>
      <c r="AB263" s="3" t="str">
        <f t="shared" si="25"/>
        <v>Effective</v>
      </c>
      <c r="AC263" s="3" t="str">
        <f t="shared" si="26"/>
        <v>Low</v>
      </c>
      <c r="AD263" s="3">
        <f t="shared" si="27"/>
        <v>3</v>
      </c>
      <c r="AE263" s="3">
        <f t="shared" si="28"/>
        <v>3</v>
      </c>
      <c r="AF263" s="3" t="s">
        <v>59</v>
      </c>
      <c r="AG263" s="3"/>
      <c r="AH263" s="3"/>
      <c r="AI263" s="3"/>
      <c r="AJ263" s="3"/>
      <c r="AK263" s="3"/>
      <c r="AL263" s="3" t="s">
        <v>60</v>
      </c>
      <c r="AM263" s="3" t="str">
        <f t="shared" si="29"/>
        <v>Must Have</v>
      </c>
    </row>
    <row r="264" spans="1:39" ht="333.5" x14ac:dyDescent="0.35">
      <c r="A264" s="4">
        <v>263</v>
      </c>
      <c r="B264" s="3" t="s">
        <v>39</v>
      </c>
      <c r="C264" s="3" t="s">
        <v>2677</v>
      </c>
      <c r="D264" s="3" t="s">
        <v>639</v>
      </c>
      <c r="E264" s="3" t="s">
        <v>2678</v>
      </c>
      <c r="F264" s="3" t="s">
        <v>114</v>
      </c>
      <c r="G264" s="3" t="s">
        <v>2224</v>
      </c>
      <c r="H264" s="3" t="s">
        <v>2679</v>
      </c>
      <c r="I264" s="4" t="s">
        <v>2799</v>
      </c>
      <c r="J264" s="3" t="s">
        <v>2800</v>
      </c>
      <c r="K264" s="3" t="s">
        <v>2801</v>
      </c>
      <c r="L264" s="3" t="s">
        <v>2802</v>
      </c>
      <c r="M264" s="3" t="s">
        <v>2803</v>
      </c>
      <c r="N264" s="3" t="s">
        <v>2804</v>
      </c>
      <c r="O264" s="3" t="s">
        <v>2805</v>
      </c>
      <c r="P264" s="3" t="s">
        <v>51</v>
      </c>
      <c r="Q264" s="3" t="s">
        <v>52</v>
      </c>
      <c r="R264" s="3" t="s">
        <v>53</v>
      </c>
      <c r="S264" s="3" t="s">
        <v>961</v>
      </c>
      <c r="T264" s="3" t="s">
        <v>68</v>
      </c>
      <c r="U264" s="3" t="s">
        <v>2806</v>
      </c>
      <c r="V264" s="3" t="s">
        <v>1819</v>
      </c>
      <c r="W264" s="3" t="s">
        <v>58</v>
      </c>
      <c r="X264" s="3">
        <f t="shared" si="24"/>
        <v>3</v>
      </c>
      <c r="Y264" s="3" t="s">
        <v>53</v>
      </c>
      <c r="Z264" s="3" t="s">
        <v>53</v>
      </c>
      <c r="AA264" s="3" t="s">
        <v>53</v>
      </c>
      <c r="AB264" s="3" t="str">
        <f t="shared" si="25"/>
        <v>Effective</v>
      </c>
      <c r="AC264" s="3" t="str">
        <f t="shared" si="26"/>
        <v>Low</v>
      </c>
      <c r="AD264" s="3">
        <f t="shared" si="27"/>
        <v>3</v>
      </c>
      <c r="AE264" s="3">
        <f t="shared" si="28"/>
        <v>3</v>
      </c>
      <c r="AF264" s="3" t="s">
        <v>59</v>
      </c>
      <c r="AG264" s="3"/>
      <c r="AH264" s="3"/>
      <c r="AI264" s="3"/>
      <c r="AJ264" s="3"/>
      <c r="AK264" s="3"/>
      <c r="AL264" s="3" t="s">
        <v>60</v>
      </c>
      <c r="AM264" s="3" t="str">
        <f t="shared" si="29"/>
        <v>Must Have</v>
      </c>
    </row>
    <row r="265" spans="1:39" ht="362.5" x14ac:dyDescent="0.35">
      <c r="A265" s="4">
        <v>264</v>
      </c>
      <c r="B265" s="3" t="s">
        <v>39</v>
      </c>
      <c r="C265" s="3" t="s">
        <v>2677</v>
      </c>
      <c r="D265" s="3" t="s">
        <v>639</v>
      </c>
      <c r="E265" s="3" t="s">
        <v>2678</v>
      </c>
      <c r="F265" s="3" t="s">
        <v>114</v>
      </c>
      <c r="G265" s="3" t="s">
        <v>2224</v>
      </c>
      <c r="H265" s="3" t="s">
        <v>2679</v>
      </c>
      <c r="I265" s="4" t="s">
        <v>2807</v>
      </c>
      <c r="J265" s="3" t="s">
        <v>2808</v>
      </c>
      <c r="K265" s="3" t="s">
        <v>2809</v>
      </c>
      <c r="L265" s="3" t="s">
        <v>2810</v>
      </c>
      <c r="M265" s="3" t="s">
        <v>2811</v>
      </c>
      <c r="N265" s="3" t="s">
        <v>2812</v>
      </c>
      <c r="O265" s="3" t="s">
        <v>2813</v>
      </c>
      <c r="P265" s="3" t="s">
        <v>51</v>
      </c>
      <c r="Q265" s="3" t="s">
        <v>323</v>
      </c>
      <c r="R265" s="3" t="s">
        <v>154</v>
      </c>
      <c r="S265" s="3" t="s">
        <v>2814</v>
      </c>
      <c r="T265" s="3" t="s">
        <v>108</v>
      </c>
      <c r="U265" s="3" t="s">
        <v>2815</v>
      </c>
      <c r="V265" s="3" t="s">
        <v>2816</v>
      </c>
      <c r="W265" s="3" t="s">
        <v>159</v>
      </c>
      <c r="X265" s="3">
        <f t="shared" si="24"/>
        <v>2</v>
      </c>
      <c r="Y265" s="3" t="s">
        <v>53</v>
      </c>
      <c r="Z265" s="3" t="s">
        <v>53</v>
      </c>
      <c r="AA265" s="3" t="s">
        <v>53</v>
      </c>
      <c r="AB265" s="3" t="str">
        <f t="shared" si="25"/>
        <v>Effective</v>
      </c>
      <c r="AC265" s="3" t="str">
        <f t="shared" si="26"/>
        <v>Low</v>
      </c>
      <c r="AD265" s="3">
        <f t="shared" si="27"/>
        <v>2</v>
      </c>
      <c r="AE265" s="3">
        <f t="shared" si="28"/>
        <v>2</v>
      </c>
      <c r="AF265" s="3" t="s">
        <v>59</v>
      </c>
      <c r="AG265" s="3"/>
      <c r="AH265" s="3"/>
      <c r="AI265" s="3"/>
      <c r="AJ265" s="3"/>
      <c r="AK265" s="3"/>
      <c r="AL265" s="3" t="s">
        <v>60</v>
      </c>
      <c r="AM265" s="3" t="str">
        <f t="shared" si="29"/>
        <v>Should Have</v>
      </c>
    </row>
    <row r="266" spans="1:39" ht="348" x14ac:dyDescent="0.35">
      <c r="A266" s="4">
        <v>265</v>
      </c>
      <c r="B266" s="3" t="s">
        <v>39</v>
      </c>
      <c r="C266" s="3" t="s">
        <v>351</v>
      </c>
      <c r="D266" s="3" t="s">
        <v>352</v>
      </c>
      <c r="E266" s="3" t="s">
        <v>352</v>
      </c>
      <c r="F266" s="3" t="s">
        <v>42</v>
      </c>
      <c r="G266" s="3" t="s">
        <v>2224</v>
      </c>
      <c r="H266" s="3" t="s">
        <v>2817</v>
      </c>
      <c r="I266" s="4" t="s">
        <v>2818</v>
      </c>
      <c r="J266" s="3" t="s">
        <v>2819</v>
      </c>
      <c r="K266" s="3" t="s">
        <v>2820</v>
      </c>
      <c r="L266" s="3" t="s">
        <v>2821</v>
      </c>
      <c r="M266" s="3" t="s">
        <v>2822</v>
      </c>
      <c r="N266" s="3" t="s">
        <v>2823</v>
      </c>
      <c r="O266" s="3" t="s">
        <v>2824</v>
      </c>
      <c r="P266" s="3" t="s">
        <v>51</v>
      </c>
      <c r="Q266" s="3" t="s">
        <v>52</v>
      </c>
      <c r="R266" s="3" t="s">
        <v>53</v>
      </c>
      <c r="S266" s="3" t="s">
        <v>2825</v>
      </c>
      <c r="T266" s="3" t="s">
        <v>68</v>
      </c>
      <c r="U266" s="3" t="s">
        <v>2826</v>
      </c>
      <c r="V266" s="3" t="s">
        <v>2827</v>
      </c>
      <c r="W266" s="3" t="s">
        <v>58</v>
      </c>
      <c r="X266" s="3">
        <f t="shared" si="24"/>
        <v>3</v>
      </c>
      <c r="Y266" s="3" t="s">
        <v>53</v>
      </c>
      <c r="Z266" s="3" t="s">
        <v>53</v>
      </c>
      <c r="AA266" s="3" t="s">
        <v>53</v>
      </c>
      <c r="AB266" s="3" t="str">
        <f t="shared" si="25"/>
        <v>Effective</v>
      </c>
      <c r="AC266" s="3" t="str">
        <f t="shared" si="26"/>
        <v>Low</v>
      </c>
      <c r="AD266" s="3">
        <f t="shared" si="27"/>
        <v>3</v>
      </c>
      <c r="AE266" s="3">
        <f t="shared" si="28"/>
        <v>3</v>
      </c>
      <c r="AF266" s="3" t="s">
        <v>59</v>
      </c>
      <c r="AG266" s="3"/>
      <c r="AH266" s="3"/>
      <c r="AI266" s="3"/>
      <c r="AJ266" s="3"/>
      <c r="AK266" s="3"/>
      <c r="AL266" s="3" t="s">
        <v>60</v>
      </c>
      <c r="AM266" s="3" t="str">
        <f t="shared" si="29"/>
        <v>Must Have</v>
      </c>
    </row>
    <row r="267" spans="1:39" ht="304.5" x14ac:dyDescent="0.35">
      <c r="A267" s="4">
        <v>266</v>
      </c>
      <c r="B267" s="3" t="s">
        <v>39</v>
      </c>
      <c r="C267" s="3" t="s">
        <v>351</v>
      </c>
      <c r="D267" s="3" t="s">
        <v>352</v>
      </c>
      <c r="E267" s="3" t="s">
        <v>352</v>
      </c>
      <c r="F267" s="3" t="s">
        <v>42</v>
      </c>
      <c r="G267" s="3" t="s">
        <v>2224</v>
      </c>
      <c r="H267" s="3" t="s">
        <v>2817</v>
      </c>
      <c r="I267" s="4" t="s">
        <v>2828</v>
      </c>
      <c r="J267" s="3" t="s">
        <v>2829</v>
      </c>
      <c r="K267" s="3" t="s">
        <v>2830</v>
      </c>
      <c r="L267" s="3" t="s">
        <v>2831</v>
      </c>
      <c r="M267" s="3" t="s">
        <v>2832</v>
      </c>
      <c r="N267" s="3" t="s">
        <v>2833</v>
      </c>
      <c r="O267" s="3" t="s">
        <v>2834</v>
      </c>
      <c r="P267" s="3" t="s">
        <v>51</v>
      </c>
      <c r="Q267" s="3" t="s">
        <v>52</v>
      </c>
      <c r="R267" s="3" t="s">
        <v>53</v>
      </c>
      <c r="S267" s="3" t="s">
        <v>2835</v>
      </c>
      <c r="T267" s="3" t="s">
        <v>2233</v>
      </c>
      <c r="U267" s="3" t="s">
        <v>2836</v>
      </c>
      <c r="V267" s="3" t="s">
        <v>2837</v>
      </c>
      <c r="W267" s="3" t="s">
        <v>58</v>
      </c>
      <c r="X267" s="3">
        <f t="shared" si="24"/>
        <v>3</v>
      </c>
      <c r="Y267" s="3" t="s">
        <v>53</v>
      </c>
      <c r="Z267" s="3" t="s">
        <v>53</v>
      </c>
      <c r="AA267" s="3" t="s">
        <v>53</v>
      </c>
      <c r="AB267" s="3" t="str">
        <f t="shared" si="25"/>
        <v>Effective</v>
      </c>
      <c r="AC267" s="3" t="str">
        <f t="shared" si="26"/>
        <v>Low</v>
      </c>
      <c r="AD267" s="3">
        <f t="shared" si="27"/>
        <v>3</v>
      </c>
      <c r="AE267" s="3">
        <f t="shared" si="28"/>
        <v>3</v>
      </c>
      <c r="AF267" s="3" t="s">
        <v>59</v>
      </c>
      <c r="AG267" s="3"/>
      <c r="AH267" s="3"/>
      <c r="AI267" s="3"/>
      <c r="AJ267" s="3"/>
      <c r="AK267" s="3"/>
      <c r="AL267" s="3" t="s">
        <v>60</v>
      </c>
      <c r="AM267" s="3" t="str">
        <f t="shared" si="29"/>
        <v>Must Have</v>
      </c>
    </row>
    <row r="268" spans="1:39" ht="319" x14ac:dyDescent="0.35">
      <c r="A268" s="4">
        <v>267</v>
      </c>
      <c r="B268" s="3" t="s">
        <v>39</v>
      </c>
      <c r="C268" s="3" t="s">
        <v>351</v>
      </c>
      <c r="D268" s="3" t="s">
        <v>352</v>
      </c>
      <c r="E268" s="3" t="s">
        <v>352</v>
      </c>
      <c r="F268" s="3" t="s">
        <v>42</v>
      </c>
      <c r="G268" s="3" t="s">
        <v>2224</v>
      </c>
      <c r="H268" s="3" t="s">
        <v>2817</v>
      </c>
      <c r="I268" s="4" t="s">
        <v>2838</v>
      </c>
      <c r="J268" s="3" t="s">
        <v>2839</v>
      </c>
      <c r="K268" s="3" t="s">
        <v>2840</v>
      </c>
      <c r="L268" s="3" t="s">
        <v>2841</v>
      </c>
      <c r="M268" s="3" t="s">
        <v>2842</v>
      </c>
      <c r="N268" s="3" t="s">
        <v>2843</v>
      </c>
      <c r="O268" s="3" t="s">
        <v>2844</v>
      </c>
      <c r="P268" s="3" t="s">
        <v>51</v>
      </c>
      <c r="Q268" s="3" t="s">
        <v>153</v>
      </c>
      <c r="R268" s="3" t="s">
        <v>154</v>
      </c>
      <c r="S268" s="3" t="s">
        <v>2835</v>
      </c>
      <c r="T268" s="3" t="s">
        <v>68</v>
      </c>
      <c r="U268" s="3" t="s">
        <v>2845</v>
      </c>
      <c r="V268" s="3" t="s">
        <v>2846</v>
      </c>
      <c r="W268" s="3" t="s">
        <v>159</v>
      </c>
      <c r="X268" s="3">
        <f t="shared" si="24"/>
        <v>2</v>
      </c>
      <c r="Y268" s="3" t="s">
        <v>53</v>
      </c>
      <c r="Z268" s="3" t="s">
        <v>53</v>
      </c>
      <c r="AA268" s="3" t="s">
        <v>53</v>
      </c>
      <c r="AB268" s="3" t="str">
        <f t="shared" si="25"/>
        <v>Effective</v>
      </c>
      <c r="AC268" s="3" t="str">
        <f t="shared" si="26"/>
        <v>Low</v>
      </c>
      <c r="AD268" s="3">
        <f t="shared" si="27"/>
        <v>2</v>
      </c>
      <c r="AE268" s="3">
        <f t="shared" si="28"/>
        <v>2</v>
      </c>
      <c r="AF268" s="3" t="s">
        <v>59</v>
      </c>
      <c r="AG268" s="3"/>
      <c r="AH268" s="3"/>
      <c r="AI268" s="3"/>
      <c r="AJ268" s="3"/>
      <c r="AK268" s="3"/>
      <c r="AL268" s="3" t="s">
        <v>60</v>
      </c>
      <c r="AM268" s="3" t="str">
        <f t="shared" si="29"/>
        <v>Should Have</v>
      </c>
    </row>
    <row r="269" spans="1:39" ht="319" x14ac:dyDescent="0.35">
      <c r="A269" s="4">
        <v>268</v>
      </c>
      <c r="B269" s="3" t="s">
        <v>39</v>
      </c>
      <c r="C269" s="3" t="s">
        <v>351</v>
      </c>
      <c r="D269" s="3" t="s">
        <v>352</v>
      </c>
      <c r="E269" s="3" t="s">
        <v>352</v>
      </c>
      <c r="F269" s="3" t="s">
        <v>42</v>
      </c>
      <c r="G269" s="3" t="s">
        <v>2224</v>
      </c>
      <c r="H269" s="3" t="s">
        <v>2817</v>
      </c>
      <c r="I269" s="4" t="s">
        <v>2847</v>
      </c>
      <c r="J269" s="3" t="s">
        <v>2848</v>
      </c>
      <c r="K269" s="3" t="s">
        <v>2849</v>
      </c>
      <c r="L269" s="3" t="s">
        <v>2850</v>
      </c>
      <c r="M269" s="3" t="s">
        <v>2851</v>
      </c>
      <c r="N269" s="3" t="s">
        <v>2852</v>
      </c>
      <c r="O269" s="3" t="s">
        <v>2853</v>
      </c>
      <c r="P269" s="3" t="s">
        <v>51</v>
      </c>
      <c r="Q269" s="3" t="s">
        <v>52</v>
      </c>
      <c r="R269" s="3" t="s">
        <v>53</v>
      </c>
      <c r="S269" s="3" t="s">
        <v>2854</v>
      </c>
      <c r="T269" s="3" t="s">
        <v>68</v>
      </c>
      <c r="U269" s="3" t="s">
        <v>2855</v>
      </c>
      <c r="V269" s="3" t="s">
        <v>2856</v>
      </c>
      <c r="W269" s="3" t="s">
        <v>58</v>
      </c>
      <c r="X269" s="3">
        <f t="shared" si="24"/>
        <v>3</v>
      </c>
      <c r="Y269" s="3" t="s">
        <v>53</v>
      </c>
      <c r="Z269" s="3" t="s">
        <v>53</v>
      </c>
      <c r="AA269" s="3" t="s">
        <v>53</v>
      </c>
      <c r="AB269" s="3" t="str">
        <f t="shared" si="25"/>
        <v>Effective</v>
      </c>
      <c r="AC269" s="3" t="str">
        <f t="shared" si="26"/>
        <v>Low</v>
      </c>
      <c r="AD269" s="3">
        <f t="shared" si="27"/>
        <v>3</v>
      </c>
      <c r="AE269" s="3">
        <f t="shared" si="28"/>
        <v>3</v>
      </c>
      <c r="AF269" s="3" t="s">
        <v>59</v>
      </c>
      <c r="AG269" s="3"/>
      <c r="AH269" s="3"/>
      <c r="AI269" s="3"/>
      <c r="AJ269" s="3"/>
      <c r="AK269" s="3"/>
      <c r="AL269" s="3" t="s">
        <v>60</v>
      </c>
      <c r="AM269" s="3" t="str">
        <f t="shared" si="29"/>
        <v>Must Have</v>
      </c>
    </row>
    <row r="270" spans="1:39" ht="333.5" x14ac:dyDescent="0.35">
      <c r="A270" s="4">
        <v>269</v>
      </c>
      <c r="B270" s="3" t="s">
        <v>39</v>
      </c>
      <c r="C270" s="3" t="s">
        <v>351</v>
      </c>
      <c r="D270" s="3" t="s">
        <v>352</v>
      </c>
      <c r="E270" s="3" t="s">
        <v>352</v>
      </c>
      <c r="F270" s="3" t="s">
        <v>42</v>
      </c>
      <c r="G270" s="3" t="s">
        <v>2224</v>
      </c>
      <c r="H270" s="3" t="s">
        <v>2817</v>
      </c>
      <c r="I270" s="4" t="s">
        <v>2857</v>
      </c>
      <c r="J270" s="3" t="s">
        <v>2858</v>
      </c>
      <c r="K270" s="3" t="s">
        <v>2859</v>
      </c>
      <c r="L270" s="3" t="s">
        <v>2860</v>
      </c>
      <c r="M270" s="3" t="s">
        <v>2861</v>
      </c>
      <c r="N270" s="3" t="s">
        <v>2862</v>
      </c>
      <c r="O270" s="3" t="s">
        <v>2863</v>
      </c>
      <c r="P270" s="3" t="s">
        <v>51</v>
      </c>
      <c r="Q270" s="3" t="s">
        <v>52</v>
      </c>
      <c r="R270" s="3" t="s">
        <v>154</v>
      </c>
      <c r="S270" s="3" t="s">
        <v>2854</v>
      </c>
      <c r="T270" s="3" t="s">
        <v>68</v>
      </c>
      <c r="U270" s="3" t="s">
        <v>2864</v>
      </c>
      <c r="V270" s="3" t="s">
        <v>2856</v>
      </c>
      <c r="W270" s="3" t="s">
        <v>159</v>
      </c>
      <c r="X270" s="3">
        <f t="shared" si="24"/>
        <v>2</v>
      </c>
      <c r="Y270" s="3" t="s">
        <v>53</v>
      </c>
      <c r="Z270" s="3" t="s">
        <v>53</v>
      </c>
      <c r="AA270" s="3" t="s">
        <v>53</v>
      </c>
      <c r="AB270" s="3" t="str">
        <f t="shared" si="25"/>
        <v>Effective</v>
      </c>
      <c r="AC270" s="3" t="str">
        <f t="shared" si="26"/>
        <v>Low</v>
      </c>
      <c r="AD270" s="3">
        <f t="shared" si="27"/>
        <v>2</v>
      </c>
      <c r="AE270" s="3">
        <f t="shared" si="28"/>
        <v>2</v>
      </c>
      <c r="AF270" s="3" t="s">
        <v>59</v>
      </c>
      <c r="AG270" s="3"/>
      <c r="AH270" s="3"/>
      <c r="AI270" s="3"/>
      <c r="AJ270" s="3"/>
      <c r="AK270" s="3"/>
      <c r="AL270" s="3" t="s">
        <v>60</v>
      </c>
      <c r="AM270" s="3" t="str">
        <f t="shared" si="29"/>
        <v>Should Have</v>
      </c>
    </row>
    <row r="271" spans="1:39" ht="333.5" x14ac:dyDescent="0.35">
      <c r="A271" s="4">
        <v>270</v>
      </c>
      <c r="B271" s="3" t="s">
        <v>39</v>
      </c>
      <c r="C271" s="3" t="s">
        <v>351</v>
      </c>
      <c r="D271" s="3" t="s">
        <v>352</v>
      </c>
      <c r="E271" s="3" t="s">
        <v>352</v>
      </c>
      <c r="F271" s="3" t="s">
        <v>114</v>
      </c>
      <c r="G271" s="3" t="s">
        <v>2224</v>
      </c>
      <c r="H271" s="3" t="s">
        <v>2817</v>
      </c>
      <c r="I271" s="4" t="s">
        <v>2865</v>
      </c>
      <c r="J271" s="3" t="s">
        <v>2866</v>
      </c>
      <c r="K271" s="3" t="s">
        <v>2867</v>
      </c>
      <c r="L271" s="3" t="s">
        <v>2868</v>
      </c>
      <c r="M271" s="3" t="s">
        <v>2869</v>
      </c>
      <c r="N271" s="3" t="s">
        <v>2870</v>
      </c>
      <c r="O271" s="3" t="s">
        <v>2871</v>
      </c>
      <c r="P271" s="3" t="s">
        <v>51</v>
      </c>
      <c r="Q271" s="3" t="s">
        <v>153</v>
      </c>
      <c r="R271" s="3" t="s">
        <v>154</v>
      </c>
      <c r="S271" s="3" t="s">
        <v>2854</v>
      </c>
      <c r="T271" s="3" t="s">
        <v>2872</v>
      </c>
      <c r="U271" s="3" t="s">
        <v>2873</v>
      </c>
      <c r="V271" s="3" t="s">
        <v>2874</v>
      </c>
      <c r="W271" s="3" t="s">
        <v>159</v>
      </c>
      <c r="X271" s="3">
        <f t="shared" si="24"/>
        <v>2</v>
      </c>
      <c r="Y271" s="3" t="s">
        <v>53</v>
      </c>
      <c r="Z271" s="3" t="s">
        <v>53</v>
      </c>
      <c r="AA271" s="3" t="s">
        <v>53</v>
      </c>
      <c r="AB271" s="3" t="str">
        <f t="shared" si="25"/>
        <v>Effective</v>
      </c>
      <c r="AC271" s="3" t="str">
        <f t="shared" si="26"/>
        <v>Low</v>
      </c>
      <c r="AD271" s="3">
        <f t="shared" si="27"/>
        <v>2</v>
      </c>
      <c r="AE271" s="3">
        <f t="shared" si="28"/>
        <v>2</v>
      </c>
      <c r="AF271" s="3" t="s">
        <v>59</v>
      </c>
      <c r="AG271" s="3"/>
      <c r="AH271" s="3"/>
      <c r="AI271" s="3"/>
      <c r="AJ271" s="3"/>
      <c r="AK271" s="3"/>
      <c r="AL271" s="3" t="s">
        <v>60</v>
      </c>
      <c r="AM271" s="3" t="str">
        <f t="shared" si="29"/>
        <v>Should Have</v>
      </c>
    </row>
    <row r="272" spans="1:39" ht="319" x14ac:dyDescent="0.35">
      <c r="A272" s="4">
        <v>271</v>
      </c>
      <c r="B272" s="3" t="s">
        <v>39</v>
      </c>
      <c r="C272" s="3" t="s">
        <v>351</v>
      </c>
      <c r="D272" s="3" t="s">
        <v>352</v>
      </c>
      <c r="E272" s="3" t="s">
        <v>352</v>
      </c>
      <c r="F272" s="3" t="s">
        <v>42</v>
      </c>
      <c r="G272" s="3" t="s">
        <v>2224</v>
      </c>
      <c r="H272" s="3" t="s">
        <v>2817</v>
      </c>
      <c r="I272" s="4" t="s">
        <v>2875</v>
      </c>
      <c r="J272" s="3" t="s">
        <v>2876</v>
      </c>
      <c r="K272" s="3" t="s">
        <v>2877</v>
      </c>
      <c r="L272" s="3" t="s">
        <v>2878</v>
      </c>
      <c r="M272" s="3" t="s">
        <v>2879</v>
      </c>
      <c r="N272" s="3" t="s">
        <v>2880</v>
      </c>
      <c r="O272" s="3" t="s">
        <v>2881</v>
      </c>
      <c r="P272" s="3" t="s">
        <v>51</v>
      </c>
      <c r="Q272" s="3" t="s">
        <v>153</v>
      </c>
      <c r="R272" s="3" t="s">
        <v>53</v>
      </c>
      <c r="S272" s="3" t="s">
        <v>2854</v>
      </c>
      <c r="T272" s="3" t="s">
        <v>2872</v>
      </c>
      <c r="U272" s="3" t="s">
        <v>2882</v>
      </c>
      <c r="V272" s="3" t="s">
        <v>2874</v>
      </c>
      <c r="W272" s="3" t="s">
        <v>58</v>
      </c>
      <c r="X272" s="3">
        <f t="shared" si="24"/>
        <v>3</v>
      </c>
      <c r="Y272" s="3" t="s">
        <v>53</v>
      </c>
      <c r="Z272" s="3" t="s">
        <v>53</v>
      </c>
      <c r="AA272" s="3" t="s">
        <v>53</v>
      </c>
      <c r="AB272" s="3" t="str">
        <f t="shared" si="25"/>
        <v>Effective</v>
      </c>
      <c r="AC272" s="3" t="str">
        <f t="shared" si="26"/>
        <v>Low</v>
      </c>
      <c r="AD272" s="3">
        <f t="shared" si="27"/>
        <v>3</v>
      </c>
      <c r="AE272" s="3">
        <f t="shared" si="28"/>
        <v>3</v>
      </c>
      <c r="AF272" s="3" t="s">
        <v>59</v>
      </c>
      <c r="AG272" s="3"/>
      <c r="AH272" s="3"/>
      <c r="AI272" s="3"/>
      <c r="AJ272" s="3"/>
      <c r="AK272" s="3"/>
      <c r="AL272" s="3" t="s">
        <v>60</v>
      </c>
      <c r="AM272" s="3" t="str">
        <f t="shared" si="29"/>
        <v>Must Have</v>
      </c>
    </row>
    <row r="273" spans="1:39" ht="348" x14ac:dyDescent="0.35">
      <c r="A273" s="4">
        <v>272</v>
      </c>
      <c r="B273" s="3" t="s">
        <v>39</v>
      </c>
      <c r="C273" s="3" t="s">
        <v>351</v>
      </c>
      <c r="D273" s="3" t="s">
        <v>352</v>
      </c>
      <c r="E273" s="3" t="s">
        <v>352</v>
      </c>
      <c r="F273" s="3" t="s">
        <v>42</v>
      </c>
      <c r="G273" s="3" t="s">
        <v>2224</v>
      </c>
      <c r="H273" s="3" t="s">
        <v>2817</v>
      </c>
      <c r="I273" s="4" t="s">
        <v>2883</v>
      </c>
      <c r="J273" s="3" t="s">
        <v>2884</v>
      </c>
      <c r="K273" s="3" t="s">
        <v>2885</v>
      </c>
      <c r="L273" s="3" t="s">
        <v>2886</v>
      </c>
      <c r="M273" s="3" t="s">
        <v>2887</v>
      </c>
      <c r="N273" s="3" t="s">
        <v>2888</v>
      </c>
      <c r="O273" s="3" t="s">
        <v>2889</v>
      </c>
      <c r="P273" s="3" t="s">
        <v>122</v>
      </c>
      <c r="Q273" s="3" t="s">
        <v>153</v>
      </c>
      <c r="R273" s="3" t="s">
        <v>154</v>
      </c>
      <c r="S273" s="3" t="s">
        <v>2854</v>
      </c>
      <c r="T273" s="3" t="s">
        <v>2872</v>
      </c>
      <c r="U273" s="3" t="s">
        <v>2890</v>
      </c>
      <c r="V273" s="3" t="s">
        <v>2891</v>
      </c>
      <c r="W273" s="3" t="s">
        <v>159</v>
      </c>
      <c r="X273" s="3">
        <f t="shared" si="24"/>
        <v>2</v>
      </c>
      <c r="Y273" s="3" t="s">
        <v>53</v>
      </c>
      <c r="Z273" s="3" t="s">
        <v>53</v>
      </c>
      <c r="AA273" s="3" t="s">
        <v>53</v>
      </c>
      <c r="AB273" s="3" t="str">
        <f t="shared" si="25"/>
        <v>Effective</v>
      </c>
      <c r="AC273" s="3" t="str">
        <f t="shared" si="26"/>
        <v>Low</v>
      </c>
      <c r="AD273" s="3">
        <f t="shared" si="27"/>
        <v>2</v>
      </c>
      <c r="AE273" s="3">
        <f t="shared" si="28"/>
        <v>2</v>
      </c>
      <c r="AF273" s="3" t="s">
        <v>59</v>
      </c>
      <c r="AG273" s="3"/>
      <c r="AH273" s="3"/>
      <c r="AI273" s="3"/>
      <c r="AJ273" s="3"/>
      <c r="AK273" s="3"/>
      <c r="AL273" s="3" t="s">
        <v>60</v>
      </c>
      <c r="AM273" s="3" t="str">
        <f t="shared" si="29"/>
        <v>Should Have</v>
      </c>
    </row>
    <row r="274" spans="1:39" ht="348" x14ac:dyDescent="0.35">
      <c r="A274" s="4">
        <v>273</v>
      </c>
      <c r="B274" s="3" t="s">
        <v>39</v>
      </c>
      <c r="C274" s="3" t="s">
        <v>351</v>
      </c>
      <c r="D274" s="3" t="s">
        <v>352</v>
      </c>
      <c r="E274" s="3" t="s">
        <v>352</v>
      </c>
      <c r="F274" s="3" t="s">
        <v>42</v>
      </c>
      <c r="G274" s="3" t="s">
        <v>2224</v>
      </c>
      <c r="H274" s="3" t="s">
        <v>2817</v>
      </c>
      <c r="I274" s="4" t="s">
        <v>2892</v>
      </c>
      <c r="J274" s="3" t="s">
        <v>2893</v>
      </c>
      <c r="K274" s="3" t="s">
        <v>2894</v>
      </c>
      <c r="L274" s="3" t="s">
        <v>2895</v>
      </c>
      <c r="M274" s="3" t="s">
        <v>2896</v>
      </c>
      <c r="N274" s="3" t="s">
        <v>2897</v>
      </c>
      <c r="O274" s="3" t="s">
        <v>2898</v>
      </c>
      <c r="P274" s="3" t="s">
        <v>206</v>
      </c>
      <c r="Q274" s="3" t="s">
        <v>153</v>
      </c>
      <c r="R274" s="3" t="s">
        <v>154</v>
      </c>
      <c r="S274" s="3" t="s">
        <v>2854</v>
      </c>
      <c r="T274" s="3" t="s">
        <v>108</v>
      </c>
      <c r="U274" s="3" t="s">
        <v>2899</v>
      </c>
      <c r="V274" s="3" t="s">
        <v>2900</v>
      </c>
      <c r="W274" s="3" t="s">
        <v>159</v>
      </c>
      <c r="X274" s="3">
        <f t="shared" si="24"/>
        <v>2</v>
      </c>
      <c r="Y274" s="3" t="s">
        <v>53</v>
      </c>
      <c r="Z274" s="3" t="s">
        <v>53</v>
      </c>
      <c r="AA274" s="3" t="s">
        <v>53</v>
      </c>
      <c r="AB274" s="3" t="str">
        <f t="shared" si="25"/>
        <v>Effective</v>
      </c>
      <c r="AC274" s="3" t="str">
        <f t="shared" si="26"/>
        <v>Low</v>
      </c>
      <c r="AD274" s="3">
        <f t="shared" si="27"/>
        <v>2</v>
      </c>
      <c r="AE274" s="3">
        <f t="shared" si="28"/>
        <v>2</v>
      </c>
      <c r="AF274" s="3" t="s">
        <v>59</v>
      </c>
      <c r="AG274" s="3"/>
      <c r="AH274" s="3"/>
      <c r="AI274" s="3"/>
      <c r="AJ274" s="3"/>
      <c r="AK274" s="3"/>
      <c r="AL274" s="3" t="s">
        <v>60</v>
      </c>
      <c r="AM274" s="3" t="str">
        <f t="shared" si="29"/>
        <v>Should Have</v>
      </c>
    </row>
    <row r="275" spans="1:39" ht="304.5" x14ac:dyDescent="0.35">
      <c r="A275" s="4">
        <v>274</v>
      </c>
      <c r="B275" s="3" t="s">
        <v>39</v>
      </c>
      <c r="C275" s="3" t="s">
        <v>351</v>
      </c>
      <c r="D275" s="3" t="s">
        <v>352</v>
      </c>
      <c r="E275" s="3" t="s">
        <v>352</v>
      </c>
      <c r="F275" s="3" t="s">
        <v>42</v>
      </c>
      <c r="G275" s="3" t="s">
        <v>2224</v>
      </c>
      <c r="H275" s="3" t="s">
        <v>2817</v>
      </c>
      <c r="I275" s="4" t="s">
        <v>2901</v>
      </c>
      <c r="J275" s="3" t="s">
        <v>2902</v>
      </c>
      <c r="K275" s="3" t="s">
        <v>2903</v>
      </c>
      <c r="L275" s="3" t="s">
        <v>2904</v>
      </c>
      <c r="M275" s="3" t="s">
        <v>2905</v>
      </c>
      <c r="N275" s="3" t="s">
        <v>2906</v>
      </c>
      <c r="O275" s="3" t="s">
        <v>2907</v>
      </c>
      <c r="P275" s="3" t="s">
        <v>51</v>
      </c>
      <c r="Q275" s="3" t="s">
        <v>323</v>
      </c>
      <c r="R275" s="3" t="s">
        <v>53</v>
      </c>
      <c r="S275" s="3" t="s">
        <v>2908</v>
      </c>
      <c r="T275" s="3" t="s">
        <v>108</v>
      </c>
      <c r="U275" s="3" t="s">
        <v>2909</v>
      </c>
      <c r="V275" s="3" t="s">
        <v>2910</v>
      </c>
      <c r="W275" s="3" t="s">
        <v>58</v>
      </c>
      <c r="X275" s="3">
        <f t="shared" si="24"/>
        <v>3</v>
      </c>
      <c r="Y275" s="3" t="s">
        <v>53</v>
      </c>
      <c r="Z275" s="3" t="s">
        <v>53</v>
      </c>
      <c r="AA275" s="3" t="s">
        <v>53</v>
      </c>
      <c r="AB275" s="3" t="str">
        <f t="shared" si="25"/>
        <v>Effective</v>
      </c>
      <c r="AC275" s="3" t="str">
        <f t="shared" si="26"/>
        <v>Low</v>
      </c>
      <c r="AD275" s="3">
        <f t="shared" si="27"/>
        <v>3</v>
      </c>
      <c r="AE275" s="3">
        <f t="shared" si="28"/>
        <v>3</v>
      </c>
      <c r="AF275" s="3" t="s">
        <v>59</v>
      </c>
      <c r="AG275" s="3"/>
      <c r="AH275" s="3"/>
      <c r="AI275" s="3"/>
      <c r="AJ275" s="3"/>
      <c r="AK275" s="3"/>
      <c r="AL275" s="3" t="s">
        <v>60</v>
      </c>
      <c r="AM275" s="3" t="str">
        <f t="shared" si="29"/>
        <v>Must Have</v>
      </c>
    </row>
    <row r="276" spans="1:39" ht="362.5" x14ac:dyDescent="0.35">
      <c r="A276" s="4">
        <v>275</v>
      </c>
      <c r="B276" s="3" t="s">
        <v>39</v>
      </c>
      <c r="C276" s="3" t="s">
        <v>351</v>
      </c>
      <c r="D276" s="3" t="s">
        <v>352</v>
      </c>
      <c r="E276" s="3" t="s">
        <v>352</v>
      </c>
      <c r="F276" s="3" t="s">
        <v>42</v>
      </c>
      <c r="G276" s="3" t="s">
        <v>2224</v>
      </c>
      <c r="H276" s="3" t="s">
        <v>2817</v>
      </c>
      <c r="I276" s="4" t="s">
        <v>2911</v>
      </c>
      <c r="J276" s="3" t="s">
        <v>2912</v>
      </c>
      <c r="K276" s="3" t="s">
        <v>2913</v>
      </c>
      <c r="L276" s="3" t="s">
        <v>2914</v>
      </c>
      <c r="M276" s="3" t="s">
        <v>2915</v>
      </c>
      <c r="N276" s="3" t="s">
        <v>2916</v>
      </c>
      <c r="O276" s="3" t="s">
        <v>2917</v>
      </c>
      <c r="P276" s="3" t="s">
        <v>51</v>
      </c>
      <c r="Q276" s="3" t="s">
        <v>153</v>
      </c>
      <c r="R276" s="3" t="s">
        <v>154</v>
      </c>
      <c r="S276" s="3" t="s">
        <v>2918</v>
      </c>
      <c r="T276" s="3" t="s">
        <v>68</v>
      </c>
      <c r="U276" s="3" t="s">
        <v>2919</v>
      </c>
      <c r="V276" s="3" t="s">
        <v>2920</v>
      </c>
      <c r="W276" s="3" t="s">
        <v>159</v>
      </c>
      <c r="X276" s="3">
        <f t="shared" si="24"/>
        <v>2</v>
      </c>
      <c r="Y276" s="3" t="s">
        <v>53</v>
      </c>
      <c r="Z276" s="3" t="s">
        <v>53</v>
      </c>
      <c r="AA276" s="3" t="s">
        <v>53</v>
      </c>
      <c r="AB276" s="3" t="str">
        <f t="shared" si="25"/>
        <v>Effective</v>
      </c>
      <c r="AC276" s="3" t="str">
        <f t="shared" si="26"/>
        <v>Low</v>
      </c>
      <c r="AD276" s="3">
        <f t="shared" si="27"/>
        <v>2</v>
      </c>
      <c r="AE276" s="3">
        <f t="shared" si="28"/>
        <v>2</v>
      </c>
      <c r="AF276" s="3" t="s">
        <v>59</v>
      </c>
      <c r="AG276" s="3"/>
      <c r="AH276" s="3"/>
      <c r="AI276" s="3"/>
      <c r="AJ276" s="3"/>
      <c r="AK276" s="3"/>
      <c r="AL276" s="3" t="s">
        <v>60</v>
      </c>
      <c r="AM276" s="3" t="str">
        <f t="shared" si="29"/>
        <v>Should Have</v>
      </c>
    </row>
    <row r="277" spans="1:39" ht="333.5" x14ac:dyDescent="0.35">
      <c r="A277" s="4">
        <v>276</v>
      </c>
      <c r="B277" s="3" t="s">
        <v>39</v>
      </c>
      <c r="C277" s="3" t="s">
        <v>351</v>
      </c>
      <c r="D277" s="3" t="s">
        <v>352</v>
      </c>
      <c r="E277" s="3" t="s">
        <v>352</v>
      </c>
      <c r="F277" s="3" t="s">
        <v>42</v>
      </c>
      <c r="G277" s="3" t="s">
        <v>2224</v>
      </c>
      <c r="H277" s="3" t="s">
        <v>2817</v>
      </c>
      <c r="I277" s="4" t="s">
        <v>2921</v>
      </c>
      <c r="J277" s="3" t="s">
        <v>2922</v>
      </c>
      <c r="K277" s="3" t="s">
        <v>2923</v>
      </c>
      <c r="L277" s="3" t="s">
        <v>2924</v>
      </c>
      <c r="M277" s="3" t="s">
        <v>2925</v>
      </c>
      <c r="N277" s="3" t="s">
        <v>2926</v>
      </c>
      <c r="O277" s="3" t="s">
        <v>2927</v>
      </c>
      <c r="P277" s="3" t="s">
        <v>51</v>
      </c>
      <c r="Q277" s="3" t="s">
        <v>153</v>
      </c>
      <c r="R277" s="3" t="s">
        <v>154</v>
      </c>
      <c r="S277" s="3" t="s">
        <v>2835</v>
      </c>
      <c r="T277" s="3" t="s">
        <v>68</v>
      </c>
      <c r="U277" s="3" t="s">
        <v>2928</v>
      </c>
      <c r="V277" s="3" t="s">
        <v>2846</v>
      </c>
      <c r="W277" s="3" t="s">
        <v>159</v>
      </c>
      <c r="X277" s="3">
        <f t="shared" si="24"/>
        <v>2</v>
      </c>
      <c r="Y277" s="3" t="s">
        <v>53</v>
      </c>
      <c r="Z277" s="3" t="s">
        <v>53</v>
      </c>
      <c r="AA277" s="3" t="s">
        <v>53</v>
      </c>
      <c r="AB277" s="3" t="str">
        <f t="shared" si="25"/>
        <v>Effective</v>
      </c>
      <c r="AC277" s="3" t="str">
        <f t="shared" si="26"/>
        <v>Low</v>
      </c>
      <c r="AD277" s="3">
        <f t="shared" si="27"/>
        <v>2</v>
      </c>
      <c r="AE277" s="3">
        <f t="shared" si="28"/>
        <v>2</v>
      </c>
      <c r="AF277" s="3" t="s">
        <v>59</v>
      </c>
      <c r="AG277" s="3"/>
      <c r="AH277" s="3"/>
      <c r="AI277" s="3"/>
      <c r="AJ277" s="3"/>
      <c r="AK277" s="3"/>
      <c r="AL277" s="3" t="s">
        <v>60</v>
      </c>
      <c r="AM277" s="3" t="str">
        <f t="shared" si="29"/>
        <v>Should Have</v>
      </c>
    </row>
    <row r="278" spans="1:39" ht="319" x14ac:dyDescent="0.35">
      <c r="A278" s="4">
        <v>277</v>
      </c>
      <c r="B278" s="3" t="s">
        <v>39</v>
      </c>
      <c r="C278" s="3" t="s">
        <v>351</v>
      </c>
      <c r="D278" s="3" t="s">
        <v>352</v>
      </c>
      <c r="E278" s="3" t="s">
        <v>352</v>
      </c>
      <c r="F278" s="3" t="s">
        <v>42</v>
      </c>
      <c r="G278" s="3" t="s">
        <v>2224</v>
      </c>
      <c r="H278" s="3" t="s">
        <v>2817</v>
      </c>
      <c r="I278" s="4" t="s">
        <v>2929</v>
      </c>
      <c r="J278" s="3" t="s">
        <v>2930</v>
      </c>
      <c r="K278" s="3" t="s">
        <v>2931</v>
      </c>
      <c r="L278" s="3" t="s">
        <v>2932</v>
      </c>
      <c r="M278" s="3" t="s">
        <v>2933</v>
      </c>
      <c r="N278" s="3" t="s">
        <v>2934</v>
      </c>
      <c r="O278" s="3" t="s">
        <v>2935</v>
      </c>
      <c r="P278" s="3" t="s">
        <v>51</v>
      </c>
      <c r="Q278" s="3" t="s">
        <v>52</v>
      </c>
      <c r="R278" s="3" t="s">
        <v>53</v>
      </c>
      <c r="S278" s="3" t="s">
        <v>2936</v>
      </c>
      <c r="T278" s="3" t="s">
        <v>68</v>
      </c>
      <c r="U278" s="3" t="s">
        <v>2937</v>
      </c>
      <c r="V278" s="3" t="s">
        <v>2938</v>
      </c>
      <c r="W278" s="3" t="s">
        <v>58</v>
      </c>
      <c r="X278" s="3">
        <f t="shared" si="24"/>
        <v>3</v>
      </c>
      <c r="Y278" s="3" t="s">
        <v>53</v>
      </c>
      <c r="Z278" s="3" t="s">
        <v>53</v>
      </c>
      <c r="AA278" s="3" t="s">
        <v>53</v>
      </c>
      <c r="AB278" s="3" t="str">
        <f t="shared" si="25"/>
        <v>Effective</v>
      </c>
      <c r="AC278" s="3" t="str">
        <f t="shared" si="26"/>
        <v>Low</v>
      </c>
      <c r="AD278" s="3">
        <f t="shared" si="27"/>
        <v>3</v>
      </c>
      <c r="AE278" s="3">
        <f t="shared" si="28"/>
        <v>3</v>
      </c>
      <c r="AF278" s="3" t="s">
        <v>59</v>
      </c>
      <c r="AG278" s="3"/>
      <c r="AH278" s="3"/>
      <c r="AI278" s="3"/>
      <c r="AJ278" s="3"/>
      <c r="AK278" s="3"/>
      <c r="AL278" s="3" t="s">
        <v>60</v>
      </c>
      <c r="AM278" s="3" t="str">
        <f t="shared" si="29"/>
        <v>Must Have</v>
      </c>
    </row>
    <row r="279" spans="1:39" ht="333.5" x14ac:dyDescent="0.35">
      <c r="A279" s="4">
        <v>278</v>
      </c>
      <c r="B279" s="3" t="s">
        <v>39</v>
      </c>
      <c r="C279" s="3" t="s">
        <v>2939</v>
      </c>
      <c r="D279" s="3" t="s">
        <v>729</v>
      </c>
      <c r="E279" s="3" t="s">
        <v>2940</v>
      </c>
      <c r="F279" s="3" t="s">
        <v>42</v>
      </c>
      <c r="G279" s="3" t="s">
        <v>2224</v>
      </c>
      <c r="H279" s="3" t="s">
        <v>2941</v>
      </c>
      <c r="I279" s="4" t="s">
        <v>2942</v>
      </c>
      <c r="J279" s="3" t="s">
        <v>2943</v>
      </c>
      <c r="K279" s="3" t="s">
        <v>2944</v>
      </c>
      <c r="L279" s="3" t="s">
        <v>2945</v>
      </c>
      <c r="M279" s="3" t="s">
        <v>2946</v>
      </c>
      <c r="N279" s="3" t="s">
        <v>2947</v>
      </c>
      <c r="O279" s="3" t="s">
        <v>2948</v>
      </c>
      <c r="P279" s="3" t="s">
        <v>51</v>
      </c>
      <c r="Q279" s="3" t="s">
        <v>52</v>
      </c>
      <c r="R279" s="3" t="s">
        <v>53</v>
      </c>
      <c r="S279" s="3" t="s">
        <v>2949</v>
      </c>
      <c r="T279" s="3" t="s">
        <v>1139</v>
      </c>
      <c r="U279" s="3" t="s">
        <v>2950</v>
      </c>
      <c r="V279" s="3" t="s">
        <v>2951</v>
      </c>
      <c r="W279" s="3" t="s">
        <v>978</v>
      </c>
      <c r="X279" s="3">
        <f t="shared" si="24"/>
        <v>4</v>
      </c>
      <c r="Y279" s="3" t="s">
        <v>53</v>
      </c>
      <c r="Z279" s="3" t="s">
        <v>53</v>
      </c>
      <c r="AA279" s="3" t="s">
        <v>53</v>
      </c>
      <c r="AB279" s="3" t="str">
        <f t="shared" si="25"/>
        <v>Effective</v>
      </c>
      <c r="AC279" s="3" t="str">
        <f t="shared" si="26"/>
        <v>Medium</v>
      </c>
      <c r="AD279" s="3">
        <f t="shared" si="27"/>
        <v>4</v>
      </c>
      <c r="AE279" s="3">
        <f t="shared" si="28"/>
        <v>4</v>
      </c>
      <c r="AF279" s="3" t="s">
        <v>59</v>
      </c>
      <c r="AG279" s="3"/>
      <c r="AH279" s="3"/>
      <c r="AI279" s="3"/>
      <c r="AJ279" s="3"/>
      <c r="AK279" s="3"/>
      <c r="AL279" s="3" t="s">
        <v>60</v>
      </c>
      <c r="AM279" s="3" t="str">
        <f t="shared" si="29"/>
        <v>Must Have</v>
      </c>
    </row>
    <row r="280" spans="1:39" ht="391.5" x14ac:dyDescent="0.35">
      <c r="A280" s="4">
        <v>279</v>
      </c>
      <c r="B280" s="3" t="s">
        <v>39</v>
      </c>
      <c r="C280" s="3" t="s">
        <v>2939</v>
      </c>
      <c r="D280" s="3" t="s">
        <v>729</v>
      </c>
      <c r="E280" s="3" t="s">
        <v>2940</v>
      </c>
      <c r="F280" s="3" t="s">
        <v>42</v>
      </c>
      <c r="G280" s="3" t="s">
        <v>2224</v>
      </c>
      <c r="H280" s="3" t="s">
        <v>2941</v>
      </c>
      <c r="I280" s="4" t="s">
        <v>2952</v>
      </c>
      <c r="J280" s="3" t="s">
        <v>2953</v>
      </c>
      <c r="K280" s="3" t="s">
        <v>2954</v>
      </c>
      <c r="L280" s="3" t="s">
        <v>2955</v>
      </c>
      <c r="M280" s="3" t="s">
        <v>2956</v>
      </c>
      <c r="N280" s="3" t="s">
        <v>2957</v>
      </c>
      <c r="O280" s="3" t="s">
        <v>2958</v>
      </c>
      <c r="P280" s="3" t="s">
        <v>51</v>
      </c>
      <c r="Q280" s="3" t="s">
        <v>52</v>
      </c>
      <c r="R280" s="3" t="s">
        <v>53</v>
      </c>
      <c r="S280" s="3" t="s">
        <v>2959</v>
      </c>
      <c r="T280" s="3" t="s">
        <v>2233</v>
      </c>
      <c r="U280" s="3" t="s">
        <v>2960</v>
      </c>
      <c r="V280" s="3" t="s">
        <v>2961</v>
      </c>
      <c r="W280" s="3" t="s">
        <v>58</v>
      </c>
      <c r="X280" s="3">
        <f t="shared" si="24"/>
        <v>3</v>
      </c>
      <c r="Y280" s="3" t="s">
        <v>53</v>
      </c>
      <c r="Z280" s="3" t="s">
        <v>53</v>
      </c>
      <c r="AA280" s="3" t="s">
        <v>53</v>
      </c>
      <c r="AB280" s="3" t="str">
        <f t="shared" si="25"/>
        <v>Effective</v>
      </c>
      <c r="AC280" s="3" t="str">
        <f t="shared" si="26"/>
        <v>Low</v>
      </c>
      <c r="AD280" s="3">
        <f t="shared" si="27"/>
        <v>3</v>
      </c>
      <c r="AE280" s="3">
        <f t="shared" si="28"/>
        <v>3</v>
      </c>
      <c r="AF280" s="3" t="s">
        <v>59</v>
      </c>
      <c r="AG280" s="3"/>
      <c r="AH280" s="3"/>
      <c r="AI280" s="3"/>
      <c r="AJ280" s="3"/>
      <c r="AK280" s="3"/>
      <c r="AL280" s="3" t="s">
        <v>60</v>
      </c>
      <c r="AM280" s="3" t="str">
        <f t="shared" si="29"/>
        <v>Must Have</v>
      </c>
    </row>
    <row r="281" spans="1:39" ht="333.5" x14ac:dyDescent="0.35">
      <c r="A281" s="4">
        <v>280</v>
      </c>
      <c r="B281" s="3" t="s">
        <v>39</v>
      </c>
      <c r="C281" s="3" t="s">
        <v>2939</v>
      </c>
      <c r="D281" s="3" t="s">
        <v>729</v>
      </c>
      <c r="E281" s="3" t="s">
        <v>2940</v>
      </c>
      <c r="F281" s="3" t="s">
        <v>42</v>
      </c>
      <c r="G281" s="3" t="s">
        <v>2224</v>
      </c>
      <c r="H281" s="3" t="s">
        <v>2941</v>
      </c>
      <c r="I281" s="4" t="s">
        <v>2962</v>
      </c>
      <c r="J281" s="3" t="s">
        <v>2963</v>
      </c>
      <c r="K281" s="3" t="s">
        <v>2964</v>
      </c>
      <c r="L281" s="3" t="s">
        <v>2965</v>
      </c>
      <c r="M281" s="3" t="s">
        <v>2966</v>
      </c>
      <c r="N281" s="3" t="s">
        <v>2967</v>
      </c>
      <c r="O281" s="3" t="s">
        <v>2968</v>
      </c>
      <c r="P281" s="3" t="s">
        <v>51</v>
      </c>
      <c r="Q281" s="3" t="s">
        <v>153</v>
      </c>
      <c r="R281" s="3" t="s">
        <v>154</v>
      </c>
      <c r="S281" s="3" t="s">
        <v>2969</v>
      </c>
      <c r="T281" s="3" t="s">
        <v>1139</v>
      </c>
      <c r="U281" s="3" t="s">
        <v>2970</v>
      </c>
      <c r="V281" s="3" t="s">
        <v>2971</v>
      </c>
      <c r="W281" s="3" t="s">
        <v>159</v>
      </c>
      <c r="X281" s="3">
        <f t="shared" si="24"/>
        <v>2</v>
      </c>
      <c r="Y281" s="3" t="s">
        <v>53</v>
      </c>
      <c r="Z281" s="3" t="s">
        <v>53</v>
      </c>
      <c r="AA281" s="3" t="s">
        <v>53</v>
      </c>
      <c r="AB281" s="3" t="str">
        <f t="shared" si="25"/>
        <v>Effective</v>
      </c>
      <c r="AC281" s="3" t="str">
        <f t="shared" si="26"/>
        <v>Low</v>
      </c>
      <c r="AD281" s="3">
        <f t="shared" si="27"/>
        <v>2</v>
      </c>
      <c r="AE281" s="3">
        <f t="shared" si="28"/>
        <v>2</v>
      </c>
      <c r="AF281" s="3" t="s">
        <v>59</v>
      </c>
      <c r="AG281" s="3"/>
      <c r="AH281" s="3"/>
      <c r="AI281" s="3"/>
      <c r="AJ281" s="3"/>
      <c r="AK281" s="3"/>
      <c r="AL281" s="3" t="s">
        <v>60</v>
      </c>
      <c r="AM281" s="3" t="str">
        <f t="shared" si="29"/>
        <v>Should Have</v>
      </c>
    </row>
    <row r="282" spans="1:39" ht="348" x14ac:dyDescent="0.35">
      <c r="A282" s="4">
        <v>281</v>
      </c>
      <c r="B282" s="3" t="s">
        <v>39</v>
      </c>
      <c r="C282" s="3" t="s">
        <v>2939</v>
      </c>
      <c r="D282" s="3" t="s">
        <v>729</v>
      </c>
      <c r="E282" s="3" t="s">
        <v>2940</v>
      </c>
      <c r="F282" s="3" t="s">
        <v>114</v>
      </c>
      <c r="G282" s="3" t="s">
        <v>2224</v>
      </c>
      <c r="H282" s="3" t="s">
        <v>2941</v>
      </c>
      <c r="I282" s="4" t="s">
        <v>2972</v>
      </c>
      <c r="J282" s="3" t="s">
        <v>2973</v>
      </c>
      <c r="K282" s="3" t="s">
        <v>2974</v>
      </c>
      <c r="L282" s="3" t="s">
        <v>2975</v>
      </c>
      <c r="M282" s="3" t="s">
        <v>2976</v>
      </c>
      <c r="N282" s="3" t="s">
        <v>2977</v>
      </c>
      <c r="O282" s="3" t="s">
        <v>2978</v>
      </c>
      <c r="P282" s="3" t="s">
        <v>51</v>
      </c>
      <c r="Q282" s="3" t="s">
        <v>153</v>
      </c>
      <c r="R282" s="3" t="s">
        <v>53</v>
      </c>
      <c r="S282" s="3" t="s">
        <v>2979</v>
      </c>
      <c r="T282" s="3" t="s">
        <v>68</v>
      </c>
      <c r="U282" s="3" t="s">
        <v>2980</v>
      </c>
      <c r="V282" s="3" t="s">
        <v>2981</v>
      </c>
      <c r="W282" s="3" t="s">
        <v>58</v>
      </c>
      <c r="X282" s="3">
        <f t="shared" si="24"/>
        <v>3</v>
      </c>
      <c r="Y282" s="3" t="s">
        <v>53</v>
      </c>
      <c r="Z282" s="3" t="s">
        <v>53</v>
      </c>
      <c r="AA282" s="3" t="s">
        <v>53</v>
      </c>
      <c r="AB282" s="3" t="str">
        <f t="shared" si="25"/>
        <v>Effective</v>
      </c>
      <c r="AC282" s="3" t="str">
        <f t="shared" si="26"/>
        <v>Low</v>
      </c>
      <c r="AD282" s="3">
        <f t="shared" si="27"/>
        <v>3</v>
      </c>
      <c r="AE282" s="3">
        <f t="shared" si="28"/>
        <v>3</v>
      </c>
      <c r="AF282" s="3" t="s">
        <v>59</v>
      </c>
      <c r="AG282" s="3"/>
      <c r="AH282" s="3"/>
      <c r="AI282" s="3"/>
      <c r="AJ282" s="3"/>
      <c r="AK282" s="3"/>
      <c r="AL282" s="3" t="s">
        <v>60</v>
      </c>
      <c r="AM282" s="3" t="str">
        <f t="shared" si="29"/>
        <v>Must Have</v>
      </c>
    </row>
    <row r="283" spans="1:39" ht="348" x14ac:dyDescent="0.35">
      <c r="A283" s="4">
        <v>282</v>
      </c>
      <c r="B283" s="3" t="s">
        <v>39</v>
      </c>
      <c r="C283" s="3" t="s">
        <v>2939</v>
      </c>
      <c r="D283" s="3" t="s">
        <v>729</v>
      </c>
      <c r="E283" s="3" t="s">
        <v>2940</v>
      </c>
      <c r="F283" s="3" t="s">
        <v>42</v>
      </c>
      <c r="G283" s="3" t="s">
        <v>2224</v>
      </c>
      <c r="H283" s="3" t="s">
        <v>2941</v>
      </c>
      <c r="I283" s="4" t="s">
        <v>2982</v>
      </c>
      <c r="J283" s="3" t="s">
        <v>2983</v>
      </c>
      <c r="K283" s="3" t="s">
        <v>2984</v>
      </c>
      <c r="L283" s="3" t="s">
        <v>2985</v>
      </c>
      <c r="M283" s="3" t="s">
        <v>2986</v>
      </c>
      <c r="N283" s="3" t="s">
        <v>2987</v>
      </c>
      <c r="O283" s="3" t="s">
        <v>2988</v>
      </c>
      <c r="P283" s="3" t="s">
        <v>51</v>
      </c>
      <c r="Q283" s="3" t="s">
        <v>52</v>
      </c>
      <c r="R283" s="3" t="s">
        <v>53</v>
      </c>
      <c r="S283" s="3" t="s">
        <v>2989</v>
      </c>
      <c r="T283" s="3" t="s">
        <v>2990</v>
      </c>
      <c r="U283" s="3" t="s">
        <v>2991</v>
      </c>
      <c r="V283" s="3" t="s">
        <v>2992</v>
      </c>
      <c r="W283" s="3" t="s">
        <v>58</v>
      </c>
      <c r="X283" s="3">
        <f t="shared" si="24"/>
        <v>3</v>
      </c>
      <c r="Y283" s="3" t="s">
        <v>53</v>
      </c>
      <c r="Z283" s="3" t="s">
        <v>53</v>
      </c>
      <c r="AA283" s="3" t="s">
        <v>53</v>
      </c>
      <c r="AB283" s="3" t="str">
        <f t="shared" si="25"/>
        <v>Effective</v>
      </c>
      <c r="AC283" s="3" t="str">
        <f t="shared" si="26"/>
        <v>Low</v>
      </c>
      <c r="AD283" s="3">
        <f t="shared" si="27"/>
        <v>3</v>
      </c>
      <c r="AE283" s="3">
        <f t="shared" si="28"/>
        <v>3</v>
      </c>
      <c r="AF283" s="3" t="s">
        <v>59</v>
      </c>
      <c r="AG283" s="3"/>
      <c r="AH283" s="3"/>
      <c r="AI283" s="3"/>
      <c r="AJ283" s="3"/>
      <c r="AK283" s="3"/>
      <c r="AL283" s="3" t="s">
        <v>60</v>
      </c>
      <c r="AM283" s="3" t="str">
        <f t="shared" si="29"/>
        <v>Must Have</v>
      </c>
    </row>
    <row r="284" spans="1:39" ht="333.5" x14ac:dyDescent="0.35">
      <c r="A284" s="4">
        <v>283</v>
      </c>
      <c r="B284" s="3" t="s">
        <v>39</v>
      </c>
      <c r="C284" s="3" t="s">
        <v>2939</v>
      </c>
      <c r="D284" s="3" t="s">
        <v>729</v>
      </c>
      <c r="E284" s="3" t="s">
        <v>2940</v>
      </c>
      <c r="F284" s="3" t="s">
        <v>42</v>
      </c>
      <c r="G284" s="3" t="s">
        <v>2224</v>
      </c>
      <c r="H284" s="3" t="s">
        <v>2941</v>
      </c>
      <c r="I284" s="4" t="s">
        <v>2993</v>
      </c>
      <c r="J284" s="3" t="s">
        <v>2994</v>
      </c>
      <c r="K284" s="3" t="s">
        <v>2995</v>
      </c>
      <c r="L284" s="3" t="s">
        <v>2996</v>
      </c>
      <c r="M284" s="3" t="s">
        <v>2997</v>
      </c>
      <c r="N284" s="3" t="s">
        <v>2998</v>
      </c>
      <c r="O284" s="3" t="s">
        <v>2999</v>
      </c>
      <c r="P284" s="3" t="s">
        <v>51</v>
      </c>
      <c r="Q284" s="3" t="s">
        <v>323</v>
      </c>
      <c r="R284" s="3" t="s">
        <v>53</v>
      </c>
      <c r="S284" s="3" t="s">
        <v>2979</v>
      </c>
      <c r="T284" s="3" t="s">
        <v>2738</v>
      </c>
      <c r="U284" s="3" t="s">
        <v>3000</v>
      </c>
      <c r="V284" s="3" t="s">
        <v>3001</v>
      </c>
      <c r="W284" s="3" t="s">
        <v>58</v>
      </c>
      <c r="X284" s="3">
        <f t="shared" si="24"/>
        <v>3</v>
      </c>
      <c r="Y284" s="3" t="s">
        <v>53</v>
      </c>
      <c r="Z284" s="3" t="s">
        <v>53</v>
      </c>
      <c r="AA284" s="3" t="s">
        <v>53</v>
      </c>
      <c r="AB284" s="3" t="str">
        <f t="shared" si="25"/>
        <v>Effective</v>
      </c>
      <c r="AC284" s="3" t="str">
        <f t="shared" si="26"/>
        <v>Low</v>
      </c>
      <c r="AD284" s="3">
        <f t="shared" si="27"/>
        <v>3</v>
      </c>
      <c r="AE284" s="3">
        <f t="shared" si="28"/>
        <v>3</v>
      </c>
      <c r="AF284" s="3" t="s">
        <v>59</v>
      </c>
      <c r="AG284" s="3"/>
      <c r="AH284" s="3"/>
      <c r="AI284" s="3"/>
      <c r="AJ284" s="3"/>
      <c r="AK284" s="3"/>
      <c r="AL284" s="3" t="s">
        <v>60</v>
      </c>
      <c r="AM284" s="3" t="str">
        <f t="shared" si="29"/>
        <v>Must Have</v>
      </c>
    </row>
    <row r="285" spans="1:39" ht="348" x14ac:dyDescent="0.35">
      <c r="A285" s="4">
        <v>284</v>
      </c>
      <c r="B285" s="3" t="s">
        <v>39</v>
      </c>
      <c r="C285" s="3" t="s">
        <v>2939</v>
      </c>
      <c r="D285" s="3" t="s">
        <v>729</v>
      </c>
      <c r="E285" s="3" t="s">
        <v>2940</v>
      </c>
      <c r="F285" s="3" t="s">
        <v>42</v>
      </c>
      <c r="G285" s="3" t="s">
        <v>2224</v>
      </c>
      <c r="H285" s="3" t="s">
        <v>2941</v>
      </c>
      <c r="I285" s="4" t="s">
        <v>3002</v>
      </c>
      <c r="J285" s="3" t="s">
        <v>3003</v>
      </c>
      <c r="K285" s="3" t="s">
        <v>3004</v>
      </c>
      <c r="L285" s="3" t="s">
        <v>3005</v>
      </c>
      <c r="M285" s="3" t="s">
        <v>3006</v>
      </c>
      <c r="N285" s="3" t="s">
        <v>3007</v>
      </c>
      <c r="O285" s="3" t="s">
        <v>3008</v>
      </c>
      <c r="P285" s="3" t="s">
        <v>51</v>
      </c>
      <c r="Q285" s="3" t="s">
        <v>52</v>
      </c>
      <c r="R285" s="3" t="s">
        <v>53</v>
      </c>
      <c r="S285" s="3" t="s">
        <v>3009</v>
      </c>
      <c r="T285" s="3" t="s">
        <v>108</v>
      </c>
      <c r="U285" s="3" t="s">
        <v>3010</v>
      </c>
      <c r="V285" s="3" t="s">
        <v>3011</v>
      </c>
      <c r="W285" s="3" t="s">
        <v>58</v>
      </c>
      <c r="X285" s="3">
        <f t="shared" si="24"/>
        <v>3</v>
      </c>
      <c r="Y285" s="3" t="s">
        <v>53</v>
      </c>
      <c r="Z285" s="3" t="s">
        <v>53</v>
      </c>
      <c r="AA285" s="3" t="s">
        <v>53</v>
      </c>
      <c r="AB285" s="3" t="str">
        <f t="shared" si="25"/>
        <v>Effective</v>
      </c>
      <c r="AC285" s="3" t="str">
        <f t="shared" si="26"/>
        <v>Low</v>
      </c>
      <c r="AD285" s="3">
        <f t="shared" si="27"/>
        <v>3</v>
      </c>
      <c r="AE285" s="3">
        <f t="shared" si="28"/>
        <v>3</v>
      </c>
      <c r="AF285" s="3" t="s">
        <v>59</v>
      </c>
      <c r="AG285" s="3"/>
      <c r="AH285" s="3"/>
      <c r="AI285" s="3"/>
      <c r="AJ285" s="3"/>
      <c r="AK285" s="3"/>
      <c r="AL285" s="3" t="s">
        <v>60</v>
      </c>
      <c r="AM285" s="3" t="str">
        <f t="shared" si="29"/>
        <v>Must Have</v>
      </c>
    </row>
    <row r="286" spans="1:39" ht="348" x14ac:dyDescent="0.35">
      <c r="A286" s="4">
        <v>285</v>
      </c>
      <c r="B286" s="3" t="s">
        <v>39</v>
      </c>
      <c r="C286" s="3" t="s">
        <v>2939</v>
      </c>
      <c r="D286" s="3" t="s">
        <v>729</v>
      </c>
      <c r="E286" s="3" t="s">
        <v>2940</v>
      </c>
      <c r="F286" s="3" t="s">
        <v>42</v>
      </c>
      <c r="G286" s="3" t="s">
        <v>2224</v>
      </c>
      <c r="H286" s="3" t="s">
        <v>2941</v>
      </c>
      <c r="I286" s="4" t="s">
        <v>3012</v>
      </c>
      <c r="J286" s="3" t="s">
        <v>3013</v>
      </c>
      <c r="K286" s="3" t="s">
        <v>3014</v>
      </c>
      <c r="L286" s="3" t="s">
        <v>3015</v>
      </c>
      <c r="M286" s="3" t="s">
        <v>3016</v>
      </c>
      <c r="N286" s="3" t="s">
        <v>3017</v>
      </c>
      <c r="O286" s="3" t="s">
        <v>3018</v>
      </c>
      <c r="P286" s="3" t="s">
        <v>206</v>
      </c>
      <c r="Q286" s="3" t="s">
        <v>153</v>
      </c>
      <c r="R286" s="3" t="s">
        <v>53</v>
      </c>
      <c r="S286" s="3" t="s">
        <v>3019</v>
      </c>
      <c r="T286" s="3" t="s">
        <v>108</v>
      </c>
      <c r="U286" s="3" t="s">
        <v>3020</v>
      </c>
      <c r="V286" s="3" t="s">
        <v>3021</v>
      </c>
      <c r="W286" s="3" t="s">
        <v>58</v>
      </c>
      <c r="X286" s="3">
        <f t="shared" si="24"/>
        <v>3</v>
      </c>
      <c r="Y286" s="3" t="s">
        <v>53</v>
      </c>
      <c r="Z286" s="3" t="s">
        <v>53</v>
      </c>
      <c r="AA286" s="3" t="s">
        <v>53</v>
      </c>
      <c r="AB286" s="3" t="str">
        <f t="shared" si="25"/>
        <v>Effective</v>
      </c>
      <c r="AC286" s="3" t="str">
        <f t="shared" si="26"/>
        <v>Low</v>
      </c>
      <c r="AD286" s="3">
        <f t="shared" si="27"/>
        <v>3</v>
      </c>
      <c r="AE286" s="3">
        <f t="shared" si="28"/>
        <v>3</v>
      </c>
      <c r="AF286" s="3" t="s">
        <v>59</v>
      </c>
      <c r="AG286" s="3"/>
      <c r="AH286" s="3"/>
      <c r="AI286" s="3"/>
      <c r="AJ286" s="3"/>
      <c r="AK286" s="3"/>
      <c r="AL286" s="3" t="s">
        <v>60</v>
      </c>
      <c r="AM286" s="3" t="str">
        <f t="shared" si="29"/>
        <v>Must Have</v>
      </c>
    </row>
    <row r="287" spans="1:39" ht="319" x14ac:dyDescent="0.35">
      <c r="A287" s="4">
        <v>286</v>
      </c>
      <c r="B287" s="3" t="s">
        <v>39</v>
      </c>
      <c r="C287" s="3" t="s">
        <v>2939</v>
      </c>
      <c r="D287" s="3" t="s">
        <v>729</v>
      </c>
      <c r="E287" s="3" t="s">
        <v>2940</v>
      </c>
      <c r="F287" s="3" t="s">
        <v>527</v>
      </c>
      <c r="G287" s="3" t="s">
        <v>2224</v>
      </c>
      <c r="H287" s="3" t="s">
        <v>2941</v>
      </c>
      <c r="I287" s="4" t="s">
        <v>3022</v>
      </c>
      <c r="J287" s="3" t="s">
        <v>3023</v>
      </c>
      <c r="K287" s="3" t="s">
        <v>3024</v>
      </c>
      <c r="L287" s="3" t="s">
        <v>3025</v>
      </c>
      <c r="M287" s="3" t="s">
        <v>3026</v>
      </c>
      <c r="N287" s="3" t="s">
        <v>3027</v>
      </c>
      <c r="O287" s="3" t="s">
        <v>3028</v>
      </c>
      <c r="P287" s="3" t="s">
        <v>51</v>
      </c>
      <c r="Q287" s="3" t="s">
        <v>323</v>
      </c>
      <c r="R287" s="3" t="s">
        <v>53</v>
      </c>
      <c r="S287" s="3" t="s">
        <v>3029</v>
      </c>
      <c r="T287" s="3" t="s">
        <v>2738</v>
      </c>
      <c r="U287" s="3" t="s">
        <v>3030</v>
      </c>
      <c r="V287" s="3" t="s">
        <v>3031</v>
      </c>
      <c r="W287" s="3" t="s">
        <v>58</v>
      </c>
      <c r="X287" s="3">
        <f t="shared" si="24"/>
        <v>3</v>
      </c>
      <c r="Y287" s="3" t="s">
        <v>53</v>
      </c>
      <c r="Z287" s="3" t="s">
        <v>53</v>
      </c>
      <c r="AA287" s="3" t="s">
        <v>53</v>
      </c>
      <c r="AB287" s="3" t="str">
        <f t="shared" si="25"/>
        <v>Effective</v>
      </c>
      <c r="AC287" s="3" t="str">
        <f t="shared" si="26"/>
        <v>Low</v>
      </c>
      <c r="AD287" s="3">
        <f t="shared" si="27"/>
        <v>3</v>
      </c>
      <c r="AE287" s="3">
        <f t="shared" si="28"/>
        <v>3</v>
      </c>
      <c r="AF287" s="3" t="s">
        <v>59</v>
      </c>
      <c r="AG287" s="3"/>
      <c r="AH287" s="3"/>
      <c r="AI287" s="3"/>
      <c r="AJ287" s="3"/>
      <c r="AK287" s="3"/>
      <c r="AL287" s="3" t="s">
        <v>60</v>
      </c>
      <c r="AM287" s="3" t="str">
        <f t="shared" si="29"/>
        <v>Must Have</v>
      </c>
    </row>
    <row r="288" spans="1:39" ht="333.5" x14ac:dyDescent="0.35">
      <c r="A288" s="4">
        <v>287</v>
      </c>
      <c r="B288" s="3" t="s">
        <v>39</v>
      </c>
      <c r="C288" s="3" t="s">
        <v>2939</v>
      </c>
      <c r="D288" s="3" t="s">
        <v>729</v>
      </c>
      <c r="E288" s="3" t="s">
        <v>2940</v>
      </c>
      <c r="F288" s="3" t="s">
        <v>527</v>
      </c>
      <c r="G288" s="3" t="s">
        <v>2224</v>
      </c>
      <c r="H288" s="3" t="s">
        <v>2941</v>
      </c>
      <c r="I288" s="4" t="s">
        <v>3032</v>
      </c>
      <c r="J288" s="3" t="s">
        <v>3033</v>
      </c>
      <c r="K288" s="3" t="s">
        <v>3034</v>
      </c>
      <c r="L288" s="3" t="s">
        <v>3035</v>
      </c>
      <c r="M288" s="3" t="s">
        <v>3036</v>
      </c>
      <c r="N288" s="3" t="s">
        <v>3037</v>
      </c>
      <c r="O288" s="3" t="s">
        <v>3038</v>
      </c>
      <c r="P288" s="3" t="s">
        <v>51</v>
      </c>
      <c r="Q288" s="3" t="s">
        <v>52</v>
      </c>
      <c r="R288" s="3" t="s">
        <v>53</v>
      </c>
      <c r="S288" s="3" t="s">
        <v>3039</v>
      </c>
      <c r="T288" s="3" t="s">
        <v>2738</v>
      </c>
      <c r="U288" s="3" t="s">
        <v>3040</v>
      </c>
      <c r="V288" s="3" t="s">
        <v>3041</v>
      </c>
      <c r="W288" s="3" t="s">
        <v>978</v>
      </c>
      <c r="X288" s="3">
        <f t="shared" si="24"/>
        <v>4</v>
      </c>
      <c r="Y288" s="3" t="s">
        <v>53</v>
      </c>
      <c r="Z288" s="3" t="s">
        <v>53</v>
      </c>
      <c r="AA288" s="3" t="s">
        <v>53</v>
      </c>
      <c r="AB288" s="3" t="str">
        <f t="shared" si="25"/>
        <v>Effective</v>
      </c>
      <c r="AC288" s="3" t="str">
        <f t="shared" si="26"/>
        <v>Medium</v>
      </c>
      <c r="AD288" s="3">
        <f t="shared" si="27"/>
        <v>4</v>
      </c>
      <c r="AE288" s="3">
        <f t="shared" si="28"/>
        <v>4</v>
      </c>
      <c r="AF288" s="3" t="s">
        <v>59</v>
      </c>
      <c r="AG288" s="3"/>
      <c r="AH288" s="3"/>
      <c r="AI288" s="3"/>
      <c r="AJ288" s="3"/>
      <c r="AK288" s="3"/>
      <c r="AL288" s="3" t="s">
        <v>60</v>
      </c>
      <c r="AM288" s="3" t="str">
        <f t="shared" si="29"/>
        <v>Must Have</v>
      </c>
    </row>
    <row r="289" spans="1:39" ht="348" x14ac:dyDescent="0.35">
      <c r="A289" s="4">
        <v>288</v>
      </c>
      <c r="B289" s="3" t="s">
        <v>39</v>
      </c>
      <c r="C289" s="3" t="s">
        <v>2939</v>
      </c>
      <c r="D289" s="3" t="s">
        <v>729</v>
      </c>
      <c r="E289" s="3" t="s">
        <v>2940</v>
      </c>
      <c r="F289" s="3" t="s">
        <v>42</v>
      </c>
      <c r="G289" s="3" t="s">
        <v>2224</v>
      </c>
      <c r="H289" s="3" t="s">
        <v>2941</v>
      </c>
      <c r="I289" s="4" t="s">
        <v>3042</v>
      </c>
      <c r="J289" s="3" t="s">
        <v>3043</v>
      </c>
      <c r="K289" s="3" t="s">
        <v>3044</v>
      </c>
      <c r="L289" s="3" t="s">
        <v>3045</v>
      </c>
      <c r="M289" s="3" t="s">
        <v>3046</v>
      </c>
      <c r="N289" s="3" t="s">
        <v>3047</v>
      </c>
      <c r="O289" s="3" t="s">
        <v>3048</v>
      </c>
      <c r="P289" s="3" t="s">
        <v>51</v>
      </c>
      <c r="Q289" s="3" t="s">
        <v>52</v>
      </c>
      <c r="R289" s="3" t="s">
        <v>154</v>
      </c>
      <c r="S289" s="3" t="s">
        <v>3049</v>
      </c>
      <c r="T289" s="3" t="s">
        <v>108</v>
      </c>
      <c r="U289" s="3" t="s">
        <v>3050</v>
      </c>
      <c r="V289" s="3" t="s">
        <v>3051</v>
      </c>
      <c r="W289" s="3" t="s">
        <v>159</v>
      </c>
      <c r="X289" s="3">
        <f t="shared" si="24"/>
        <v>2</v>
      </c>
      <c r="Y289" s="3" t="s">
        <v>53</v>
      </c>
      <c r="Z289" s="3" t="s">
        <v>53</v>
      </c>
      <c r="AA289" s="3" t="s">
        <v>53</v>
      </c>
      <c r="AB289" s="3" t="str">
        <f t="shared" si="25"/>
        <v>Effective</v>
      </c>
      <c r="AC289" s="3" t="str">
        <f t="shared" si="26"/>
        <v>Low</v>
      </c>
      <c r="AD289" s="3">
        <f t="shared" si="27"/>
        <v>2</v>
      </c>
      <c r="AE289" s="3">
        <f t="shared" si="28"/>
        <v>2</v>
      </c>
      <c r="AF289" s="3" t="s">
        <v>59</v>
      </c>
      <c r="AG289" s="3"/>
      <c r="AH289" s="3"/>
      <c r="AI289" s="3"/>
      <c r="AJ289" s="3"/>
      <c r="AK289" s="3"/>
      <c r="AL289" s="3" t="s">
        <v>60</v>
      </c>
      <c r="AM289" s="3" t="str">
        <f t="shared" si="29"/>
        <v>Should Have</v>
      </c>
    </row>
    <row r="290" spans="1:39" ht="348" x14ac:dyDescent="0.35">
      <c r="A290" s="4">
        <v>289</v>
      </c>
      <c r="B290" s="3" t="s">
        <v>39</v>
      </c>
      <c r="C290" s="3" t="s">
        <v>2939</v>
      </c>
      <c r="D290" s="3" t="s">
        <v>729</v>
      </c>
      <c r="E290" s="3" t="s">
        <v>2940</v>
      </c>
      <c r="F290" s="3" t="s">
        <v>42</v>
      </c>
      <c r="G290" s="3" t="s">
        <v>2224</v>
      </c>
      <c r="H290" s="3" t="s">
        <v>2941</v>
      </c>
      <c r="I290" s="4" t="s">
        <v>3052</v>
      </c>
      <c r="J290" s="3" t="s">
        <v>3053</v>
      </c>
      <c r="K290" s="3" t="s">
        <v>3054</v>
      </c>
      <c r="L290" s="3" t="s">
        <v>3055</v>
      </c>
      <c r="M290" s="3" t="s">
        <v>3056</v>
      </c>
      <c r="N290" s="3" t="s">
        <v>3057</v>
      </c>
      <c r="O290" s="3" t="s">
        <v>3058</v>
      </c>
      <c r="P290" s="3" t="s">
        <v>51</v>
      </c>
      <c r="Q290" s="3" t="s">
        <v>52</v>
      </c>
      <c r="R290" s="3" t="s">
        <v>154</v>
      </c>
      <c r="S290" s="3" t="s">
        <v>3059</v>
      </c>
      <c r="T290" s="3" t="s">
        <v>2404</v>
      </c>
      <c r="U290" s="3" t="s">
        <v>3060</v>
      </c>
      <c r="V290" s="3" t="s">
        <v>3061</v>
      </c>
      <c r="W290" s="3" t="s">
        <v>159</v>
      </c>
      <c r="X290" s="3">
        <f t="shared" si="24"/>
        <v>2</v>
      </c>
      <c r="Y290" s="3" t="s">
        <v>53</v>
      </c>
      <c r="Z290" s="3" t="s">
        <v>53</v>
      </c>
      <c r="AA290" s="3" t="s">
        <v>53</v>
      </c>
      <c r="AB290" s="3" t="str">
        <f t="shared" si="25"/>
        <v>Effective</v>
      </c>
      <c r="AC290" s="3" t="str">
        <f t="shared" si="26"/>
        <v>Low</v>
      </c>
      <c r="AD290" s="3">
        <f t="shared" si="27"/>
        <v>2</v>
      </c>
      <c r="AE290" s="3">
        <f t="shared" si="28"/>
        <v>2</v>
      </c>
      <c r="AF290" s="3" t="s">
        <v>59</v>
      </c>
      <c r="AG290" s="3"/>
      <c r="AH290" s="3"/>
      <c r="AI290" s="3"/>
      <c r="AJ290" s="3"/>
      <c r="AK290" s="3"/>
      <c r="AL290" s="3" t="s">
        <v>60</v>
      </c>
      <c r="AM290" s="3" t="str">
        <f t="shared" si="29"/>
        <v>Should Have</v>
      </c>
    </row>
    <row r="291" spans="1:39" ht="348" x14ac:dyDescent="0.35">
      <c r="A291" s="4">
        <v>290</v>
      </c>
      <c r="B291" s="3" t="s">
        <v>39</v>
      </c>
      <c r="C291" s="3" t="s">
        <v>3062</v>
      </c>
      <c r="D291" s="3" t="s">
        <v>329</v>
      </c>
      <c r="E291" s="3" t="s">
        <v>3063</v>
      </c>
      <c r="F291" s="3" t="s">
        <v>42</v>
      </c>
      <c r="G291" s="3" t="s">
        <v>2224</v>
      </c>
      <c r="H291" s="3" t="s">
        <v>3064</v>
      </c>
      <c r="I291" s="4" t="s">
        <v>3065</v>
      </c>
      <c r="J291" s="3" t="s">
        <v>3066</v>
      </c>
      <c r="K291" s="3" t="s">
        <v>3067</v>
      </c>
      <c r="L291" s="3" t="s">
        <v>3068</v>
      </c>
      <c r="M291" s="3" t="s">
        <v>3069</v>
      </c>
      <c r="N291" s="3" t="s">
        <v>3070</v>
      </c>
      <c r="O291" s="3" t="s">
        <v>3071</v>
      </c>
      <c r="P291" s="3" t="s">
        <v>51</v>
      </c>
      <c r="Q291" s="3" t="s">
        <v>52</v>
      </c>
      <c r="R291" s="3" t="s">
        <v>53</v>
      </c>
      <c r="S291" s="3" t="s">
        <v>2687</v>
      </c>
      <c r="T291" s="3" t="s">
        <v>68</v>
      </c>
      <c r="U291" s="3" t="s">
        <v>3072</v>
      </c>
      <c r="V291" s="3" t="s">
        <v>2689</v>
      </c>
      <c r="W291" s="3" t="s">
        <v>58</v>
      </c>
      <c r="X291" s="3">
        <f t="shared" si="24"/>
        <v>3</v>
      </c>
      <c r="Y291" s="3" t="s">
        <v>53</v>
      </c>
      <c r="Z291" s="3" t="s">
        <v>53</v>
      </c>
      <c r="AA291" s="3" t="s">
        <v>53</v>
      </c>
      <c r="AB291" s="3" t="str">
        <f t="shared" si="25"/>
        <v>Effective</v>
      </c>
      <c r="AC291" s="3" t="str">
        <f t="shared" si="26"/>
        <v>Low</v>
      </c>
      <c r="AD291" s="3">
        <f t="shared" si="27"/>
        <v>3</v>
      </c>
      <c r="AE291" s="3">
        <f t="shared" si="28"/>
        <v>3</v>
      </c>
      <c r="AF291" s="3" t="s">
        <v>59</v>
      </c>
      <c r="AG291" s="3"/>
      <c r="AH291" s="3"/>
      <c r="AI291" s="3"/>
      <c r="AJ291" s="3"/>
      <c r="AK291" s="3"/>
      <c r="AL291" s="3" t="s">
        <v>60</v>
      </c>
      <c r="AM291" s="3" t="str">
        <f t="shared" si="29"/>
        <v>Must Have</v>
      </c>
    </row>
    <row r="292" spans="1:39" ht="333.5" x14ac:dyDescent="0.35">
      <c r="A292" s="4">
        <v>291</v>
      </c>
      <c r="B292" s="3" t="s">
        <v>39</v>
      </c>
      <c r="C292" s="3" t="s">
        <v>3062</v>
      </c>
      <c r="D292" s="3" t="s">
        <v>329</v>
      </c>
      <c r="E292" s="3" t="s">
        <v>3063</v>
      </c>
      <c r="F292" s="3" t="s">
        <v>42</v>
      </c>
      <c r="G292" s="3" t="s">
        <v>2224</v>
      </c>
      <c r="H292" s="3" t="s">
        <v>3064</v>
      </c>
      <c r="I292" s="4" t="s">
        <v>3073</v>
      </c>
      <c r="J292" s="3" t="s">
        <v>3074</v>
      </c>
      <c r="K292" s="3" t="s">
        <v>3075</v>
      </c>
      <c r="L292" s="3" t="s">
        <v>3076</v>
      </c>
      <c r="M292" s="3" t="s">
        <v>3077</v>
      </c>
      <c r="N292" s="3" t="s">
        <v>3078</v>
      </c>
      <c r="O292" s="3" t="s">
        <v>3079</v>
      </c>
      <c r="P292" s="3" t="s">
        <v>51</v>
      </c>
      <c r="Q292" s="3" t="s">
        <v>52</v>
      </c>
      <c r="R292" s="3" t="s">
        <v>53</v>
      </c>
      <c r="S292" s="3" t="s">
        <v>3080</v>
      </c>
      <c r="T292" s="3" t="s">
        <v>2233</v>
      </c>
      <c r="U292" s="3" t="s">
        <v>3081</v>
      </c>
      <c r="V292" s="3" t="s">
        <v>3082</v>
      </c>
      <c r="W292" s="3" t="s">
        <v>58</v>
      </c>
      <c r="X292" s="3">
        <f t="shared" si="24"/>
        <v>3</v>
      </c>
      <c r="Y292" s="3" t="s">
        <v>53</v>
      </c>
      <c r="Z292" s="3" t="s">
        <v>53</v>
      </c>
      <c r="AA292" s="3" t="s">
        <v>53</v>
      </c>
      <c r="AB292" s="3" t="str">
        <f t="shared" si="25"/>
        <v>Effective</v>
      </c>
      <c r="AC292" s="3" t="str">
        <f t="shared" si="26"/>
        <v>Low</v>
      </c>
      <c r="AD292" s="3">
        <f t="shared" si="27"/>
        <v>3</v>
      </c>
      <c r="AE292" s="3">
        <f t="shared" si="28"/>
        <v>3</v>
      </c>
      <c r="AF292" s="3" t="s">
        <v>59</v>
      </c>
      <c r="AG292" s="3"/>
      <c r="AH292" s="3"/>
      <c r="AI292" s="3"/>
      <c r="AJ292" s="3"/>
      <c r="AK292" s="3"/>
      <c r="AL292" s="3" t="s">
        <v>60</v>
      </c>
      <c r="AM292" s="3" t="str">
        <f t="shared" si="29"/>
        <v>Must Have</v>
      </c>
    </row>
    <row r="293" spans="1:39" ht="333.5" x14ac:dyDescent="0.35">
      <c r="A293" s="4">
        <v>292</v>
      </c>
      <c r="B293" s="3" t="s">
        <v>39</v>
      </c>
      <c r="C293" s="3" t="s">
        <v>3062</v>
      </c>
      <c r="D293" s="3" t="s">
        <v>329</v>
      </c>
      <c r="E293" s="3" t="s">
        <v>3063</v>
      </c>
      <c r="F293" s="3" t="s">
        <v>42</v>
      </c>
      <c r="G293" s="3" t="s">
        <v>2224</v>
      </c>
      <c r="H293" s="3" t="s">
        <v>3064</v>
      </c>
      <c r="I293" s="4" t="s">
        <v>3083</v>
      </c>
      <c r="J293" s="3" t="s">
        <v>3084</v>
      </c>
      <c r="K293" s="3" t="s">
        <v>3085</v>
      </c>
      <c r="L293" s="3" t="s">
        <v>3086</v>
      </c>
      <c r="M293" s="3" t="s">
        <v>3087</v>
      </c>
      <c r="N293" s="3" t="s">
        <v>3088</v>
      </c>
      <c r="O293" s="3" t="s">
        <v>3089</v>
      </c>
      <c r="P293" s="3" t="s">
        <v>51</v>
      </c>
      <c r="Q293" s="3" t="s">
        <v>52</v>
      </c>
      <c r="R293" s="3" t="s">
        <v>53</v>
      </c>
      <c r="S293" s="3" t="s">
        <v>3090</v>
      </c>
      <c r="T293" s="3" t="s">
        <v>1139</v>
      </c>
      <c r="U293" s="3" t="s">
        <v>3091</v>
      </c>
      <c r="V293" s="3" t="s">
        <v>3092</v>
      </c>
      <c r="W293" s="3" t="s">
        <v>58</v>
      </c>
      <c r="X293" s="3">
        <f t="shared" si="24"/>
        <v>3</v>
      </c>
      <c r="Y293" s="3" t="s">
        <v>53</v>
      </c>
      <c r="Z293" s="3" t="s">
        <v>53</v>
      </c>
      <c r="AA293" s="3" t="s">
        <v>53</v>
      </c>
      <c r="AB293" s="3" t="str">
        <f t="shared" si="25"/>
        <v>Effective</v>
      </c>
      <c r="AC293" s="3" t="str">
        <f t="shared" si="26"/>
        <v>Low</v>
      </c>
      <c r="AD293" s="3">
        <f t="shared" si="27"/>
        <v>3</v>
      </c>
      <c r="AE293" s="3">
        <f t="shared" si="28"/>
        <v>3</v>
      </c>
      <c r="AF293" s="3" t="s">
        <v>59</v>
      </c>
      <c r="AG293" s="3"/>
      <c r="AH293" s="3"/>
      <c r="AI293" s="3"/>
      <c r="AJ293" s="3"/>
      <c r="AK293" s="3"/>
      <c r="AL293" s="3" t="s">
        <v>60</v>
      </c>
      <c r="AM293" s="3" t="str">
        <f t="shared" si="29"/>
        <v>Must Have</v>
      </c>
    </row>
    <row r="294" spans="1:39" ht="319" x14ac:dyDescent="0.35">
      <c r="A294" s="4">
        <v>293</v>
      </c>
      <c r="B294" s="3" t="s">
        <v>39</v>
      </c>
      <c r="C294" s="3" t="s">
        <v>3062</v>
      </c>
      <c r="D294" s="3" t="s">
        <v>329</v>
      </c>
      <c r="E294" s="3" t="s">
        <v>3063</v>
      </c>
      <c r="F294" s="3" t="s">
        <v>42</v>
      </c>
      <c r="G294" s="3" t="s">
        <v>2224</v>
      </c>
      <c r="H294" s="3" t="s">
        <v>3064</v>
      </c>
      <c r="I294" s="4" t="s">
        <v>3093</v>
      </c>
      <c r="J294" s="3" t="s">
        <v>3094</v>
      </c>
      <c r="K294" s="3" t="s">
        <v>3095</v>
      </c>
      <c r="L294" s="3" t="s">
        <v>3096</v>
      </c>
      <c r="M294" s="3" t="s">
        <v>3097</v>
      </c>
      <c r="N294" s="3" t="s">
        <v>3098</v>
      </c>
      <c r="O294" s="3" t="s">
        <v>3099</v>
      </c>
      <c r="P294" s="3" t="s">
        <v>51</v>
      </c>
      <c r="Q294" s="3" t="s">
        <v>52</v>
      </c>
      <c r="R294" s="3" t="s">
        <v>154</v>
      </c>
      <c r="S294" s="3" t="s">
        <v>3100</v>
      </c>
      <c r="T294" s="3" t="s">
        <v>2233</v>
      </c>
      <c r="U294" s="3" t="s">
        <v>3101</v>
      </c>
      <c r="V294" s="3" t="s">
        <v>3102</v>
      </c>
      <c r="W294" s="3" t="s">
        <v>159</v>
      </c>
      <c r="X294" s="3">
        <f t="shared" si="24"/>
        <v>2</v>
      </c>
      <c r="Y294" s="3" t="s">
        <v>53</v>
      </c>
      <c r="Z294" s="3" t="s">
        <v>53</v>
      </c>
      <c r="AA294" s="3" t="s">
        <v>53</v>
      </c>
      <c r="AB294" s="3" t="str">
        <f t="shared" si="25"/>
        <v>Effective</v>
      </c>
      <c r="AC294" s="3" t="str">
        <f t="shared" si="26"/>
        <v>Low</v>
      </c>
      <c r="AD294" s="3">
        <f t="shared" si="27"/>
        <v>2</v>
      </c>
      <c r="AE294" s="3">
        <f t="shared" si="28"/>
        <v>2</v>
      </c>
      <c r="AF294" s="3" t="s">
        <v>59</v>
      </c>
      <c r="AG294" s="3"/>
      <c r="AH294" s="3"/>
      <c r="AI294" s="3"/>
      <c r="AJ294" s="3"/>
      <c r="AK294" s="3"/>
      <c r="AL294" s="3" t="s">
        <v>60</v>
      </c>
      <c r="AM294" s="3" t="str">
        <f t="shared" si="29"/>
        <v>Should Have</v>
      </c>
    </row>
    <row r="295" spans="1:39" ht="333.5" x14ac:dyDescent="0.35">
      <c r="A295" s="4">
        <v>294</v>
      </c>
      <c r="B295" s="3" t="s">
        <v>39</v>
      </c>
      <c r="C295" s="3" t="s">
        <v>3062</v>
      </c>
      <c r="D295" s="3" t="s">
        <v>329</v>
      </c>
      <c r="E295" s="3" t="s">
        <v>3063</v>
      </c>
      <c r="F295" s="3" t="s">
        <v>42</v>
      </c>
      <c r="G295" s="3" t="s">
        <v>2224</v>
      </c>
      <c r="H295" s="3" t="s">
        <v>3064</v>
      </c>
      <c r="I295" s="4" t="s">
        <v>3103</v>
      </c>
      <c r="J295" s="3" t="s">
        <v>3104</v>
      </c>
      <c r="K295" s="3" t="s">
        <v>3105</v>
      </c>
      <c r="L295" s="3" t="s">
        <v>3106</v>
      </c>
      <c r="M295" s="3" t="s">
        <v>3107</v>
      </c>
      <c r="N295" s="3" t="s">
        <v>3108</v>
      </c>
      <c r="O295" s="3" t="s">
        <v>3109</v>
      </c>
      <c r="P295" s="3" t="s">
        <v>51</v>
      </c>
      <c r="Q295" s="3" t="s">
        <v>52</v>
      </c>
      <c r="R295" s="3" t="s">
        <v>53</v>
      </c>
      <c r="S295" s="3" t="s">
        <v>3110</v>
      </c>
      <c r="T295" s="3" t="s">
        <v>68</v>
      </c>
      <c r="U295" s="3" t="s">
        <v>3111</v>
      </c>
      <c r="V295" s="3" t="s">
        <v>3112</v>
      </c>
      <c r="W295" s="3" t="s">
        <v>58</v>
      </c>
      <c r="X295" s="3">
        <f t="shared" si="24"/>
        <v>3</v>
      </c>
      <c r="Y295" s="3" t="s">
        <v>53</v>
      </c>
      <c r="Z295" s="3" t="s">
        <v>53</v>
      </c>
      <c r="AA295" s="3" t="s">
        <v>53</v>
      </c>
      <c r="AB295" s="3" t="str">
        <f t="shared" si="25"/>
        <v>Effective</v>
      </c>
      <c r="AC295" s="3" t="str">
        <f t="shared" si="26"/>
        <v>Low</v>
      </c>
      <c r="AD295" s="3">
        <f t="shared" si="27"/>
        <v>3</v>
      </c>
      <c r="AE295" s="3">
        <f t="shared" si="28"/>
        <v>3</v>
      </c>
      <c r="AF295" s="3" t="s">
        <v>59</v>
      </c>
      <c r="AG295" s="3"/>
      <c r="AH295" s="3"/>
      <c r="AI295" s="3"/>
      <c r="AJ295" s="3"/>
      <c r="AK295" s="3"/>
      <c r="AL295" s="3" t="s">
        <v>60</v>
      </c>
      <c r="AM295" s="3" t="str">
        <f t="shared" si="29"/>
        <v>Must Have</v>
      </c>
    </row>
    <row r="296" spans="1:39" ht="319" x14ac:dyDescent="0.35">
      <c r="A296" s="4">
        <v>295</v>
      </c>
      <c r="B296" s="3" t="s">
        <v>39</v>
      </c>
      <c r="C296" s="3" t="s">
        <v>3062</v>
      </c>
      <c r="D296" s="3" t="s">
        <v>329</v>
      </c>
      <c r="E296" s="3" t="s">
        <v>3063</v>
      </c>
      <c r="F296" s="3" t="s">
        <v>42</v>
      </c>
      <c r="G296" s="3" t="s">
        <v>2224</v>
      </c>
      <c r="H296" s="3" t="s">
        <v>3064</v>
      </c>
      <c r="I296" s="4" t="s">
        <v>3113</v>
      </c>
      <c r="J296" s="3" t="s">
        <v>3114</v>
      </c>
      <c r="K296" s="3" t="s">
        <v>3115</v>
      </c>
      <c r="L296" s="3" t="s">
        <v>3116</v>
      </c>
      <c r="M296" s="3" t="s">
        <v>3117</v>
      </c>
      <c r="N296" s="3" t="s">
        <v>3118</v>
      </c>
      <c r="O296" s="3" t="s">
        <v>3119</v>
      </c>
      <c r="P296" s="3" t="s">
        <v>51</v>
      </c>
      <c r="Q296" s="3" t="s">
        <v>52</v>
      </c>
      <c r="R296" s="3" t="s">
        <v>53</v>
      </c>
      <c r="S296" s="3" t="s">
        <v>3120</v>
      </c>
      <c r="T296" s="3" t="s">
        <v>68</v>
      </c>
      <c r="U296" s="3" t="s">
        <v>3121</v>
      </c>
      <c r="V296" s="3" t="s">
        <v>3122</v>
      </c>
      <c r="W296" s="3" t="s">
        <v>58</v>
      </c>
      <c r="X296" s="3">
        <f t="shared" si="24"/>
        <v>3</v>
      </c>
      <c r="Y296" s="3" t="s">
        <v>53</v>
      </c>
      <c r="Z296" s="3" t="s">
        <v>53</v>
      </c>
      <c r="AA296" s="3" t="s">
        <v>53</v>
      </c>
      <c r="AB296" s="3" t="str">
        <f t="shared" si="25"/>
        <v>Effective</v>
      </c>
      <c r="AC296" s="3" t="str">
        <f t="shared" si="26"/>
        <v>Low</v>
      </c>
      <c r="AD296" s="3">
        <f t="shared" si="27"/>
        <v>3</v>
      </c>
      <c r="AE296" s="3">
        <f t="shared" si="28"/>
        <v>3</v>
      </c>
      <c r="AF296" s="3" t="s">
        <v>59</v>
      </c>
      <c r="AG296" s="3"/>
      <c r="AH296" s="3"/>
      <c r="AI296" s="3"/>
      <c r="AJ296" s="3"/>
      <c r="AK296" s="3"/>
      <c r="AL296" s="3" t="s">
        <v>60</v>
      </c>
      <c r="AM296" s="3" t="str">
        <f t="shared" si="29"/>
        <v>Must Have</v>
      </c>
    </row>
    <row r="297" spans="1:39" ht="319" x14ac:dyDescent="0.35">
      <c r="A297" s="4">
        <v>296</v>
      </c>
      <c r="B297" s="3" t="s">
        <v>39</v>
      </c>
      <c r="C297" s="3" t="s">
        <v>3062</v>
      </c>
      <c r="D297" s="3" t="s">
        <v>329</v>
      </c>
      <c r="E297" s="3" t="s">
        <v>3063</v>
      </c>
      <c r="F297" s="3" t="s">
        <v>42</v>
      </c>
      <c r="G297" s="3" t="s">
        <v>2224</v>
      </c>
      <c r="H297" s="3" t="s">
        <v>3064</v>
      </c>
      <c r="I297" s="4" t="s">
        <v>3123</v>
      </c>
      <c r="J297" s="3" t="s">
        <v>3124</v>
      </c>
      <c r="K297" s="3" t="s">
        <v>3125</v>
      </c>
      <c r="L297" s="3" t="s">
        <v>3126</v>
      </c>
      <c r="M297" s="3" t="s">
        <v>3127</v>
      </c>
      <c r="N297" s="3" t="s">
        <v>3128</v>
      </c>
      <c r="O297" s="3" t="s">
        <v>3129</v>
      </c>
      <c r="P297" s="3" t="s">
        <v>51</v>
      </c>
      <c r="Q297" s="3" t="s">
        <v>52</v>
      </c>
      <c r="R297" s="3" t="s">
        <v>53</v>
      </c>
      <c r="S297" s="3" t="s">
        <v>3130</v>
      </c>
      <c r="T297" s="3" t="s">
        <v>1958</v>
      </c>
      <c r="U297" s="3" t="s">
        <v>3131</v>
      </c>
      <c r="V297" s="3" t="s">
        <v>3132</v>
      </c>
      <c r="W297" s="3" t="s">
        <v>58</v>
      </c>
      <c r="X297" s="3">
        <f t="shared" si="24"/>
        <v>3</v>
      </c>
      <c r="Y297" s="3" t="s">
        <v>53</v>
      </c>
      <c r="Z297" s="3" t="s">
        <v>53</v>
      </c>
      <c r="AA297" s="3" t="s">
        <v>53</v>
      </c>
      <c r="AB297" s="3" t="str">
        <f t="shared" si="25"/>
        <v>Effective</v>
      </c>
      <c r="AC297" s="3" t="str">
        <f t="shared" si="26"/>
        <v>Low</v>
      </c>
      <c r="AD297" s="3">
        <f t="shared" si="27"/>
        <v>3</v>
      </c>
      <c r="AE297" s="3">
        <f t="shared" si="28"/>
        <v>3</v>
      </c>
      <c r="AF297" s="3" t="s">
        <v>59</v>
      </c>
      <c r="AG297" s="3"/>
      <c r="AH297" s="3"/>
      <c r="AI297" s="3"/>
      <c r="AJ297" s="3"/>
      <c r="AK297" s="3"/>
      <c r="AL297" s="3" t="s">
        <v>60</v>
      </c>
      <c r="AM297" s="3" t="str">
        <f t="shared" si="29"/>
        <v>Must Have</v>
      </c>
    </row>
    <row r="298" spans="1:39" ht="348" x14ac:dyDescent="0.35">
      <c r="A298" s="4">
        <v>297</v>
      </c>
      <c r="B298" s="3" t="s">
        <v>39</v>
      </c>
      <c r="C298" s="3" t="s">
        <v>3062</v>
      </c>
      <c r="D298" s="3" t="s">
        <v>329</v>
      </c>
      <c r="E298" s="3" t="s">
        <v>3063</v>
      </c>
      <c r="F298" s="3" t="s">
        <v>114</v>
      </c>
      <c r="G298" s="3" t="s">
        <v>2224</v>
      </c>
      <c r="H298" s="3" t="s">
        <v>3064</v>
      </c>
      <c r="I298" s="4" t="s">
        <v>3133</v>
      </c>
      <c r="J298" s="3" t="s">
        <v>3134</v>
      </c>
      <c r="K298" s="3" t="s">
        <v>3135</v>
      </c>
      <c r="L298" s="3" t="s">
        <v>3136</v>
      </c>
      <c r="M298" s="3" t="s">
        <v>3137</v>
      </c>
      <c r="N298" s="3" t="s">
        <v>3138</v>
      </c>
      <c r="O298" s="3" t="s">
        <v>3139</v>
      </c>
      <c r="P298" s="3" t="s">
        <v>51</v>
      </c>
      <c r="Q298" s="3" t="s">
        <v>52</v>
      </c>
      <c r="R298" s="3" t="s">
        <v>53</v>
      </c>
      <c r="S298" s="3" t="s">
        <v>3100</v>
      </c>
      <c r="T298" s="3" t="s">
        <v>2233</v>
      </c>
      <c r="U298" s="3" t="s">
        <v>3140</v>
      </c>
      <c r="V298" s="3" t="s">
        <v>3102</v>
      </c>
      <c r="W298" s="3" t="s">
        <v>58</v>
      </c>
      <c r="X298" s="3">
        <f t="shared" si="24"/>
        <v>3</v>
      </c>
      <c r="Y298" s="3" t="s">
        <v>53</v>
      </c>
      <c r="Z298" s="3" t="s">
        <v>53</v>
      </c>
      <c r="AA298" s="3" t="s">
        <v>53</v>
      </c>
      <c r="AB298" s="3" t="str">
        <f t="shared" si="25"/>
        <v>Effective</v>
      </c>
      <c r="AC298" s="3" t="str">
        <f t="shared" si="26"/>
        <v>Low</v>
      </c>
      <c r="AD298" s="3">
        <f t="shared" si="27"/>
        <v>3</v>
      </c>
      <c r="AE298" s="3">
        <f t="shared" si="28"/>
        <v>3</v>
      </c>
      <c r="AF298" s="3" t="s">
        <v>59</v>
      </c>
      <c r="AG298" s="3"/>
      <c r="AH298" s="3"/>
      <c r="AI298" s="3"/>
      <c r="AJ298" s="3"/>
      <c r="AK298" s="3"/>
      <c r="AL298" s="3" t="s">
        <v>60</v>
      </c>
      <c r="AM298" s="3" t="str">
        <f t="shared" si="29"/>
        <v>Must Have</v>
      </c>
    </row>
    <row r="299" spans="1:39" ht="319" x14ac:dyDescent="0.35">
      <c r="A299" s="4">
        <v>298</v>
      </c>
      <c r="B299" s="3" t="s">
        <v>39</v>
      </c>
      <c r="C299" s="3" t="s">
        <v>3062</v>
      </c>
      <c r="D299" s="3" t="s">
        <v>329</v>
      </c>
      <c r="E299" s="3" t="s">
        <v>3063</v>
      </c>
      <c r="F299" s="3" t="s">
        <v>42</v>
      </c>
      <c r="G299" s="3" t="s">
        <v>2224</v>
      </c>
      <c r="H299" s="3" t="s">
        <v>3064</v>
      </c>
      <c r="I299" s="4" t="s">
        <v>3141</v>
      </c>
      <c r="J299" s="3" t="s">
        <v>3142</v>
      </c>
      <c r="K299" s="3" t="s">
        <v>3143</v>
      </c>
      <c r="L299" s="3" t="s">
        <v>3144</v>
      </c>
      <c r="M299" s="3" t="s">
        <v>3145</v>
      </c>
      <c r="N299" s="3" t="s">
        <v>3146</v>
      </c>
      <c r="O299" s="3" t="s">
        <v>3147</v>
      </c>
      <c r="P299" s="3" t="s">
        <v>51</v>
      </c>
      <c r="Q299" s="3" t="s">
        <v>153</v>
      </c>
      <c r="R299" s="3" t="s">
        <v>53</v>
      </c>
      <c r="S299" s="3" t="s">
        <v>3130</v>
      </c>
      <c r="T299" s="3" t="s">
        <v>68</v>
      </c>
      <c r="U299" s="3" t="s">
        <v>3148</v>
      </c>
      <c r="V299" s="3" t="s">
        <v>3149</v>
      </c>
      <c r="W299" s="3" t="s">
        <v>58</v>
      </c>
      <c r="X299" s="3">
        <f t="shared" si="24"/>
        <v>3</v>
      </c>
      <c r="Y299" s="3" t="s">
        <v>53</v>
      </c>
      <c r="Z299" s="3" t="s">
        <v>53</v>
      </c>
      <c r="AA299" s="3" t="s">
        <v>53</v>
      </c>
      <c r="AB299" s="3" t="str">
        <f t="shared" si="25"/>
        <v>Effective</v>
      </c>
      <c r="AC299" s="3" t="str">
        <f t="shared" si="26"/>
        <v>Low</v>
      </c>
      <c r="AD299" s="3">
        <f t="shared" si="27"/>
        <v>3</v>
      </c>
      <c r="AE299" s="3">
        <f t="shared" si="28"/>
        <v>3</v>
      </c>
      <c r="AF299" s="3" t="s">
        <v>59</v>
      </c>
      <c r="AG299" s="3"/>
      <c r="AH299" s="3"/>
      <c r="AI299" s="3"/>
      <c r="AJ299" s="3"/>
      <c r="AK299" s="3"/>
      <c r="AL299" s="3" t="s">
        <v>60</v>
      </c>
      <c r="AM299" s="3" t="str">
        <f t="shared" si="29"/>
        <v>Must Have</v>
      </c>
    </row>
    <row r="300" spans="1:39" ht="333.5" x14ac:dyDescent="0.35">
      <c r="A300" s="4">
        <v>299</v>
      </c>
      <c r="B300" s="3" t="s">
        <v>39</v>
      </c>
      <c r="C300" s="3" t="s">
        <v>3062</v>
      </c>
      <c r="D300" s="3" t="s">
        <v>329</v>
      </c>
      <c r="E300" s="3" t="s">
        <v>3063</v>
      </c>
      <c r="F300" s="3" t="s">
        <v>42</v>
      </c>
      <c r="G300" s="3" t="s">
        <v>2224</v>
      </c>
      <c r="H300" s="3" t="s">
        <v>3064</v>
      </c>
      <c r="I300" s="4" t="s">
        <v>3150</v>
      </c>
      <c r="J300" s="3" t="s">
        <v>3151</v>
      </c>
      <c r="K300" s="3" t="s">
        <v>3152</v>
      </c>
      <c r="L300" s="3" t="s">
        <v>3153</v>
      </c>
      <c r="M300" s="3" t="s">
        <v>3154</v>
      </c>
      <c r="N300" s="3" t="s">
        <v>3155</v>
      </c>
      <c r="O300" s="3" t="s">
        <v>3156</v>
      </c>
      <c r="P300" s="3" t="s">
        <v>51</v>
      </c>
      <c r="Q300" s="3" t="s">
        <v>52</v>
      </c>
      <c r="R300" s="3" t="s">
        <v>53</v>
      </c>
      <c r="S300" s="3" t="s">
        <v>3157</v>
      </c>
      <c r="T300" s="3" t="s">
        <v>68</v>
      </c>
      <c r="U300" s="3" t="s">
        <v>3158</v>
      </c>
      <c r="V300" s="3" t="s">
        <v>3159</v>
      </c>
      <c r="W300" s="3" t="s">
        <v>58</v>
      </c>
      <c r="X300" s="3">
        <f t="shared" si="24"/>
        <v>3</v>
      </c>
      <c r="Y300" s="3" t="s">
        <v>53</v>
      </c>
      <c r="Z300" s="3" t="s">
        <v>53</v>
      </c>
      <c r="AA300" s="3" t="s">
        <v>53</v>
      </c>
      <c r="AB300" s="3" t="str">
        <f t="shared" si="25"/>
        <v>Effective</v>
      </c>
      <c r="AC300" s="3" t="str">
        <f t="shared" si="26"/>
        <v>Low</v>
      </c>
      <c r="AD300" s="3">
        <f t="shared" si="27"/>
        <v>3</v>
      </c>
      <c r="AE300" s="3">
        <f t="shared" si="28"/>
        <v>3</v>
      </c>
      <c r="AF300" s="3" t="s">
        <v>59</v>
      </c>
      <c r="AG300" s="3"/>
      <c r="AH300" s="3"/>
      <c r="AI300" s="3"/>
      <c r="AJ300" s="3"/>
      <c r="AK300" s="3"/>
      <c r="AL300" s="3" t="s">
        <v>60</v>
      </c>
      <c r="AM300" s="3" t="str">
        <f t="shared" si="29"/>
        <v>Must Have</v>
      </c>
    </row>
    <row r="301" spans="1:39" ht="319" x14ac:dyDescent="0.35">
      <c r="A301" s="4">
        <v>300</v>
      </c>
      <c r="B301" s="3" t="s">
        <v>39</v>
      </c>
      <c r="C301" s="3" t="s">
        <v>3062</v>
      </c>
      <c r="D301" s="3" t="s">
        <v>329</v>
      </c>
      <c r="E301" s="3" t="s">
        <v>3063</v>
      </c>
      <c r="F301" s="3" t="s">
        <v>114</v>
      </c>
      <c r="G301" s="3" t="s">
        <v>2224</v>
      </c>
      <c r="H301" s="3" t="s">
        <v>3064</v>
      </c>
      <c r="I301" s="4" t="s">
        <v>3160</v>
      </c>
      <c r="J301" s="3" t="s">
        <v>3161</v>
      </c>
      <c r="K301" s="3" t="s">
        <v>3162</v>
      </c>
      <c r="L301" s="3" t="s">
        <v>3163</v>
      </c>
      <c r="M301" s="3" t="s">
        <v>3164</v>
      </c>
      <c r="N301" s="3" t="s">
        <v>3165</v>
      </c>
      <c r="O301" s="3" t="s">
        <v>3166</v>
      </c>
      <c r="P301" s="3" t="s">
        <v>122</v>
      </c>
      <c r="Q301" s="3" t="s">
        <v>52</v>
      </c>
      <c r="R301" s="3" t="s">
        <v>53</v>
      </c>
      <c r="S301" s="3" t="s">
        <v>113</v>
      </c>
      <c r="T301" s="3" t="s">
        <v>1139</v>
      </c>
      <c r="U301" s="3" t="s">
        <v>3167</v>
      </c>
      <c r="V301" s="3" t="s">
        <v>2614</v>
      </c>
      <c r="W301" s="3" t="s">
        <v>58</v>
      </c>
      <c r="X301" s="3">
        <f t="shared" si="24"/>
        <v>3</v>
      </c>
      <c r="Y301" s="3" t="s">
        <v>53</v>
      </c>
      <c r="Z301" s="3" t="s">
        <v>53</v>
      </c>
      <c r="AA301" s="3" t="s">
        <v>53</v>
      </c>
      <c r="AB301" s="3" t="str">
        <f t="shared" si="25"/>
        <v>Effective</v>
      </c>
      <c r="AC301" s="3" t="str">
        <f t="shared" si="26"/>
        <v>Low</v>
      </c>
      <c r="AD301" s="3">
        <f t="shared" si="27"/>
        <v>3</v>
      </c>
      <c r="AE301" s="3">
        <f t="shared" si="28"/>
        <v>3</v>
      </c>
      <c r="AF301" s="3" t="s">
        <v>59</v>
      </c>
      <c r="AG301" s="3"/>
      <c r="AH301" s="3"/>
      <c r="AI301" s="3"/>
      <c r="AJ301" s="3"/>
      <c r="AK301" s="3"/>
      <c r="AL301" s="3" t="s">
        <v>60</v>
      </c>
      <c r="AM301" s="3" t="str">
        <f t="shared" si="29"/>
        <v>Must Have</v>
      </c>
    </row>
    <row r="302" spans="1:39" ht="348" x14ac:dyDescent="0.35">
      <c r="A302" s="4">
        <v>301</v>
      </c>
      <c r="B302" s="3" t="s">
        <v>39</v>
      </c>
      <c r="C302" s="3" t="s">
        <v>3062</v>
      </c>
      <c r="D302" s="3" t="s">
        <v>329</v>
      </c>
      <c r="E302" s="3" t="s">
        <v>3063</v>
      </c>
      <c r="F302" s="3" t="s">
        <v>114</v>
      </c>
      <c r="G302" s="3" t="s">
        <v>2224</v>
      </c>
      <c r="H302" s="3" t="s">
        <v>3064</v>
      </c>
      <c r="I302" s="4" t="s">
        <v>3168</v>
      </c>
      <c r="J302" s="3" t="s">
        <v>3169</v>
      </c>
      <c r="K302" s="3" t="s">
        <v>3170</v>
      </c>
      <c r="L302" s="3" t="s">
        <v>3171</v>
      </c>
      <c r="M302" s="3" t="s">
        <v>3172</v>
      </c>
      <c r="N302" s="3" t="s">
        <v>3173</v>
      </c>
      <c r="O302" s="3" t="s">
        <v>3174</v>
      </c>
      <c r="P302" s="3" t="s">
        <v>51</v>
      </c>
      <c r="Q302" s="3" t="s">
        <v>52</v>
      </c>
      <c r="R302" s="3" t="s">
        <v>154</v>
      </c>
      <c r="S302" s="3" t="s">
        <v>3175</v>
      </c>
      <c r="T302" s="3" t="s">
        <v>68</v>
      </c>
      <c r="U302" s="3" t="s">
        <v>3176</v>
      </c>
      <c r="V302" s="3" t="s">
        <v>3177</v>
      </c>
      <c r="W302" s="3" t="s">
        <v>159</v>
      </c>
      <c r="X302" s="3">
        <f t="shared" si="24"/>
        <v>2</v>
      </c>
      <c r="Y302" s="3" t="s">
        <v>53</v>
      </c>
      <c r="Z302" s="3" t="s">
        <v>53</v>
      </c>
      <c r="AA302" s="3" t="s">
        <v>53</v>
      </c>
      <c r="AB302" s="3" t="str">
        <f t="shared" si="25"/>
        <v>Effective</v>
      </c>
      <c r="AC302" s="3" t="str">
        <f t="shared" si="26"/>
        <v>Low</v>
      </c>
      <c r="AD302" s="3">
        <f t="shared" si="27"/>
        <v>2</v>
      </c>
      <c r="AE302" s="3">
        <f t="shared" si="28"/>
        <v>2</v>
      </c>
      <c r="AF302" s="3" t="s">
        <v>59</v>
      </c>
      <c r="AG302" s="3"/>
      <c r="AH302" s="3"/>
      <c r="AI302" s="3"/>
      <c r="AJ302" s="3"/>
      <c r="AK302" s="3"/>
      <c r="AL302" s="3" t="s">
        <v>60</v>
      </c>
      <c r="AM302" s="3" t="str">
        <f t="shared" si="29"/>
        <v>Should Have</v>
      </c>
    </row>
    <row r="303" spans="1:39" ht="362.5" x14ac:dyDescent="0.35">
      <c r="A303" s="4">
        <v>302</v>
      </c>
      <c r="B303" s="3" t="s">
        <v>39</v>
      </c>
      <c r="C303" s="3" t="s">
        <v>3178</v>
      </c>
      <c r="D303" s="3" t="s">
        <v>615</v>
      </c>
      <c r="E303" s="3" t="s">
        <v>3179</v>
      </c>
      <c r="F303" s="3" t="s">
        <v>42</v>
      </c>
      <c r="G303" s="3" t="s">
        <v>2224</v>
      </c>
      <c r="H303" s="3" t="s">
        <v>3180</v>
      </c>
      <c r="I303" s="4" t="s">
        <v>3181</v>
      </c>
      <c r="J303" s="3" t="s">
        <v>3182</v>
      </c>
      <c r="K303" s="3" t="s">
        <v>3183</v>
      </c>
      <c r="L303" s="3" t="s">
        <v>3184</v>
      </c>
      <c r="M303" s="3" t="s">
        <v>3185</v>
      </c>
      <c r="N303" s="3" t="s">
        <v>3186</v>
      </c>
      <c r="O303" s="3" t="s">
        <v>3187</v>
      </c>
      <c r="P303" s="3" t="s">
        <v>51</v>
      </c>
      <c r="Q303" s="3" t="s">
        <v>52</v>
      </c>
      <c r="R303" s="3" t="s">
        <v>154</v>
      </c>
      <c r="S303" s="3" t="s">
        <v>2687</v>
      </c>
      <c r="T303" s="3" t="s">
        <v>68</v>
      </c>
      <c r="U303" s="3" t="s">
        <v>3188</v>
      </c>
      <c r="V303" s="3" t="s">
        <v>2689</v>
      </c>
      <c r="W303" s="3" t="s">
        <v>159</v>
      </c>
      <c r="X303" s="3">
        <f t="shared" si="24"/>
        <v>2</v>
      </c>
      <c r="Y303" s="3" t="s">
        <v>53</v>
      </c>
      <c r="Z303" s="3" t="s">
        <v>53</v>
      </c>
      <c r="AA303" s="3" t="s">
        <v>53</v>
      </c>
      <c r="AB303" s="3" t="str">
        <f t="shared" si="25"/>
        <v>Effective</v>
      </c>
      <c r="AC303" s="3" t="str">
        <f t="shared" si="26"/>
        <v>Low</v>
      </c>
      <c r="AD303" s="3">
        <f t="shared" si="27"/>
        <v>2</v>
      </c>
      <c r="AE303" s="3">
        <f t="shared" si="28"/>
        <v>2</v>
      </c>
      <c r="AF303" s="3" t="s">
        <v>59</v>
      </c>
      <c r="AG303" s="3"/>
      <c r="AH303" s="3"/>
      <c r="AI303" s="3"/>
      <c r="AJ303" s="3"/>
      <c r="AK303" s="3"/>
      <c r="AL303" s="3" t="s">
        <v>60</v>
      </c>
      <c r="AM303" s="3" t="str">
        <f t="shared" si="29"/>
        <v>Should Have</v>
      </c>
    </row>
    <row r="304" spans="1:39" ht="362.5" x14ac:dyDescent="0.35">
      <c r="A304" s="4">
        <v>303</v>
      </c>
      <c r="B304" s="3" t="s">
        <v>39</v>
      </c>
      <c r="C304" s="3" t="s">
        <v>3178</v>
      </c>
      <c r="D304" s="3" t="s">
        <v>615</v>
      </c>
      <c r="E304" s="3" t="s">
        <v>3179</v>
      </c>
      <c r="F304" s="3" t="s">
        <v>42</v>
      </c>
      <c r="G304" s="3" t="s">
        <v>2224</v>
      </c>
      <c r="H304" s="3" t="s">
        <v>3180</v>
      </c>
      <c r="I304" s="4" t="s">
        <v>3189</v>
      </c>
      <c r="J304" s="3" t="s">
        <v>3190</v>
      </c>
      <c r="K304" s="3" t="s">
        <v>3191</v>
      </c>
      <c r="L304" s="3" t="s">
        <v>3192</v>
      </c>
      <c r="M304" s="3" t="s">
        <v>3193</v>
      </c>
      <c r="N304" s="3" t="s">
        <v>3194</v>
      </c>
      <c r="O304" s="3" t="s">
        <v>3195</v>
      </c>
      <c r="P304" s="3" t="s">
        <v>51</v>
      </c>
      <c r="Q304" s="3" t="s">
        <v>52</v>
      </c>
      <c r="R304" s="3" t="s">
        <v>154</v>
      </c>
      <c r="S304" s="3" t="s">
        <v>3049</v>
      </c>
      <c r="T304" s="3" t="s">
        <v>2233</v>
      </c>
      <c r="U304" s="3" t="s">
        <v>3196</v>
      </c>
      <c r="V304" s="3" t="s">
        <v>3197</v>
      </c>
      <c r="W304" s="3" t="s">
        <v>159</v>
      </c>
      <c r="X304" s="3">
        <f t="shared" si="24"/>
        <v>2</v>
      </c>
      <c r="Y304" s="3" t="s">
        <v>53</v>
      </c>
      <c r="Z304" s="3" t="s">
        <v>53</v>
      </c>
      <c r="AA304" s="3" t="s">
        <v>53</v>
      </c>
      <c r="AB304" s="3" t="str">
        <f t="shared" si="25"/>
        <v>Effective</v>
      </c>
      <c r="AC304" s="3" t="str">
        <f t="shared" si="26"/>
        <v>Low</v>
      </c>
      <c r="AD304" s="3">
        <f t="shared" si="27"/>
        <v>2</v>
      </c>
      <c r="AE304" s="3">
        <f t="shared" si="28"/>
        <v>2</v>
      </c>
      <c r="AF304" s="3" t="s">
        <v>59</v>
      </c>
      <c r="AG304" s="3"/>
      <c r="AH304" s="3"/>
      <c r="AI304" s="3"/>
      <c r="AJ304" s="3"/>
      <c r="AK304" s="3"/>
      <c r="AL304" s="3" t="s">
        <v>60</v>
      </c>
      <c r="AM304" s="3" t="str">
        <f t="shared" si="29"/>
        <v>Should Have</v>
      </c>
    </row>
    <row r="305" spans="1:39" ht="348" x14ac:dyDescent="0.35">
      <c r="A305" s="4">
        <v>304</v>
      </c>
      <c r="B305" s="3" t="s">
        <v>39</v>
      </c>
      <c r="C305" s="3" t="s">
        <v>3178</v>
      </c>
      <c r="D305" s="3" t="s">
        <v>615</v>
      </c>
      <c r="E305" s="3" t="s">
        <v>3179</v>
      </c>
      <c r="F305" s="3" t="s">
        <v>42</v>
      </c>
      <c r="G305" s="3" t="s">
        <v>2224</v>
      </c>
      <c r="H305" s="3" t="s">
        <v>3180</v>
      </c>
      <c r="I305" s="4" t="s">
        <v>3198</v>
      </c>
      <c r="J305" s="3" t="s">
        <v>3199</v>
      </c>
      <c r="K305" s="3" t="s">
        <v>3200</v>
      </c>
      <c r="L305" s="3" t="s">
        <v>3201</v>
      </c>
      <c r="M305" s="3" t="s">
        <v>3202</v>
      </c>
      <c r="N305" s="3" t="s">
        <v>3203</v>
      </c>
      <c r="O305" s="3" t="s">
        <v>3204</v>
      </c>
      <c r="P305" s="3" t="s">
        <v>51</v>
      </c>
      <c r="Q305" s="3" t="s">
        <v>52</v>
      </c>
      <c r="R305" s="3" t="s">
        <v>154</v>
      </c>
      <c r="S305" s="3" t="s">
        <v>3049</v>
      </c>
      <c r="T305" s="3" t="s">
        <v>68</v>
      </c>
      <c r="U305" s="3" t="s">
        <v>3205</v>
      </c>
      <c r="V305" s="3" t="s">
        <v>3206</v>
      </c>
      <c r="W305" s="3" t="s">
        <v>159</v>
      </c>
      <c r="X305" s="3">
        <f t="shared" si="24"/>
        <v>2</v>
      </c>
      <c r="Y305" s="3" t="s">
        <v>53</v>
      </c>
      <c r="Z305" s="3" t="s">
        <v>53</v>
      </c>
      <c r="AA305" s="3" t="s">
        <v>53</v>
      </c>
      <c r="AB305" s="3" t="str">
        <f t="shared" si="25"/>
        <v>Effective</v>
      </c>
      <c r="AC305" s="3" t="str">
        <f t="shared" si="26"/>
        <v>Low</v>
      </c>
      <c r="AD305" s="3">
        <f t="shared" si="27"/>
        <v>2</v>
      </c>
      <c r="AE305" s="3">
        <f t="shared" si="28"/>
        <v>2</v>
      </c>
      <c r="AF305" s="3" t="s">
        <v>59</v>
      </c>
      <c r="AG305" s="3"/>
      <c r="AH305" s="3"/>
      <c r="AI305" s="3"/>
      <c r="AJ305" s="3"/>
      <c r="AK305" s="3"/>
      <c r="AL305" s="3" t="s">
        <v>60</v>
      </c>
      <c r="AM305" s="3" t="str">
        <f t="shared" si="29"/>
        <v>Should Have</v>
      </c>
    </row>
    <row r="306" spans="1:39" ht="333.5" x14ac:dyDescent="0.35">
      <c r="A306" s="4">
        <v>305</v>
      </c>
      <c r="B306" s="3" t="s">
        <v>39</v>
      </c>
      <c r="C306" s="3" t="s">
        <v>3178</v>
      </c>
      <c r="D306" s="3" t="s">
        <v>615</v>
      </c>
      <c r="E306" s="3" t="s">
        <v>3179</v>
      </c>
      <c r="F306" s="3" t="s">
        <v>42</v>
      </c>
      <c r="G306" s="3" t="s">
        <v>2224</v>
      </c>
      <c r="H306" s="3" t="s">
        <v>3180</v>
      </c>
      <c r="I306" s="4" t="s">
        <v>3207</v>
      </c>
      <c r="J306" s="3" t="s">
        <v>3208</v>
      </c>
      <c r="K306" s="3" t="s">
        <v>3209</v>
      </c>
      <c r="L306" s="3" t="s">
        <v>3210</v>
      </c>
      <c r="M306" s="3" t="s">
        <v>3211</v>
      </c>
      <c r="N306" s="3" t="s">
        <v>3212</v>
      </c>
      <c r="O306" s="3" t="s">
        <v>3213</v>
      </c>
      <c r="P306" s="3" t="s">
        <v>51</v>
      </c>
      <c r="Q306" s="3" t="s">
        <v>52</v>
      </c>
      <c r="R306" s="3" t="s">
        <v>154</v>
      </c>
      <c r="S306" s="3" t="s">
        <v>3214</v>
      </c>
      <c r="T306" s="3" t="s">
        <v>108</v>
      </c>
      <c r="U306" s="3" t="s">
        <v>3215</v>
      </c>
      <c r="V306" s="3" t="s">
        <v>3216</v>
      </c>
      <c r="W306" s="3" t="s">
        <v>2364</v>
      </c>
      <c r="X306" s="3">
        <f t="shared" si="24"/>
        <v>1</v>
      </c>
      <c r="Y306" s="3" t="s">
        <v>53</v>
      </c>
      <c r="Z306" s="3" t="s">
        <v>53</v>
      </c>
      <c r="AA306" s="3" t="s">
        <v>53</v>
      </c>
      <c r="AB306" s="3" t="str">
        <f t="shared" si="25"/>
        <v>Effective</v>
      </c>
      <c r="AC306" s="3" t="str">
        <f t="shared" si="26"/>
        <v>Low</v>
      </c>
      <c r="AD306" s="3">
        <f t="shared" si="27"/>
        <v>1</v>
      </c>
      <c r="AE306" s="3">
        <f t="shared" si="28"/>
        <v>1</v>
      </c>
      <c r="AF306" s="3" t="s">
        <v>59</v>
      </c>
      <c r="AG306" s="3"/>
      <c r="AH306" s="3"/>
      <c r="AI306" s="3"/>
      <c r="AJ306" s="3"/>
      <c r="AK306" s="3"/>
      <c r="AL306" s="3" t="s">
        <v>60</v>
      </c>
      <c r="AM306" s="3" t="str">
        <f t="shared" si="29"/>
        <v>Should Have</v>
      </c>
    </row>
    <row r="307" spans="1:39" ht="362.5" x14ac:dyDescent="0.35">
      <c r="A307" s="4">
        <v>306</v>
      </c>
      <c r="B307" s="3" t="s">
        <v>39</v>
      </c>
      <c r="C307" s="3" t="s">
        <v>3178</v>
      </c>
      <c r="D307" s="3" t="s">
        <v>615</v>
      </c>
      <c r="E307" s="3" t="s">
        <v>3179</v>
      </c>
      <c r="F307" s="3" t="s">
        <v>42</v>
      </c>
      <c r="G307" s="3" t="s">
        <v>2224</v>
      </c>
      <c r="H307" s="3" t="s">
        <v>3180</v>
      </c>
      <c r="I307" s="4" t="s">
        <v>3217</v>
      </c>
      <c r="J307" s="3" t="s">
        <v>3218</v>
      </c>
      <c r="K307" s="3" t="s">
        <v>3219</v>
      </c>
      <c r="L307" s="3" t="s">
        <v>3220</v>
      </c>
      <c r="M307" s="3" t="s">
        <v>3221</v>
      </c>
      <c r="N307" s="3" t="s">
        <v>3222</v>
      </c>
      <c r="O307" s="3" t="s">
        <v>3223</v>
      </c>
      <c r="P307" s="3" t="s">
        <v>51</v>
      </c>
      <c r="Q307" s="3" t="s">
        <v>153</v>
      </c>
      <c r="R307" s="3" t="s">
        <v>154</v>
      </c>
      <c r="S307" s="3" t="s">
        <v>3049</v>
      </c>
      <c r="T307" s="3" t="s">
        <v>68</v>
      </c>
      <c r="U307" s="3" t="s">
        <v>3224</v>
      </c>
      <c r="V307" s="3" t="s">
        <v>3206</v>
      </c>
      <c r="W307" s="3" t="s">
        <v>159</v>
      </c>
      <c r="X307" s="3">
        <f t="shared" si="24"/>
        <v>2</v>
      </c>
      <c r="Y307" s="3" t="s">
        <v>53</v>
      </c>
      <c r="Z307" s="3" t="s">
        <v>53</v>
      </c>
      <c r="AA307" s="3" t="s">
        <v>53</v>
      </c>
      <c r="AB307" s="3" t="str">
        <f t="shared" si="25"/>
        <v>Effective</v>
      </c>
      <c r="AC307" s="3" t="str">
        <f t="shared" si="26"/>
        <v>Low</v>
      </c>
      <c r="AD307" s="3">
        <f t="shared" si="27"/>
        <v>2</v>
      </c>
      <c r="AE307" s="3">
        <f t="shared" si="28"/>
        <v>2</v>
      </c>
      <c r="AF307" s="3" t="s">
        <v>59</v>
      </c>
      <c r="AG307" s="3"/>
      <c r="AH307" s="3"/>
      <c r="AI307" s="3"/>
      <c r="AJ307" s="3"/>
      <c r="AK307" s="3"/>
      <c r="AL307" s="3" t="s">
        <v>60</v>
      </c>
      <c r="AM307" s="3" t="str">
        <f t="shared" si="29"/>
        <v>Should Have</v>
      </c>
    </row>
    <row r="308" spans="1:39" ht="333.5" x14ac:dyDescent="0.35">
      <c r="A308" s="4">
        <v>307</v>
      </c>
      <c r="B308" s="3" t="s">
        <v>39</v>
      </c>
      <c r="C308" s="3" t="s">
        <v>3178</v>
      </c>
      <c r="D308" s="3" t="s">
        <v>615</v>
      </c>
      <c r="E308" s="3" t="s">
        <v>3179</v>
      </c>
      <c r="F308" s="3" t="s">
        <v>42</v>
      </c>
      <c r="G308" s="3" t="s">
        <v>2224</v>
      </c>
      <c r="H308" s="3" t="s">
        <v>3180</v>
      </c>
      <c r="I308" s="4" t="s">
        <v>3225</v>
      </c>
      <c r="J308" s="3" t="s">
        <v>3226</v>
      </c>
      <c r="K308" s="3" t="s">
        <v>3227</v>
      </c>
      <c r="L308" s="3" t="s">
        <v>3228</v>
      </c>
      <c r="M308" s="3" t="s">
        <v>3229</v>
      </c>
      <c r="N308" s="3" t="s">
        <v>3230</v>
      </c>
      <c r="O308" s="3" t="s">
        <v>3231</v>
      </c>
      <c r="P308" s="3" t="s">
        <v>51</v>
      </c>
      <c r="Q308" s="3" t="s">
        <v>52</v>
      </c>
      <c r="R308" s="3" t="s">
        <v>154</v>
      </c>
      <c r="S308" s="3" t="s">
        <v>3214</v>
      </c>
      <c r="T308" s="3" t="s">
        <v>68</v>
      </c>
      <c r="U308" s="3" t="s">
        <v>3232</v>
      </c>
      <c r="V308" s="3" t="s">
        <v>3233</v>
      </c>
      <c r="W308" s="3" t="s">
        <v>2364</v>
      </c>
      <c r="X308" s="3">
        <f t="shared" si="24"/>
        <v>1</v>
      </c>
      <c r="Y308" s="3" t="s">
        <v>53</v>
      </c>
      <c r="Z308" s="3" t="s">
        <v>53</v>
      </c>
      <c r="AA308" s="3" t="s">
        <v>53</v>
      </c>
      <c r="AB308" s="3" t="str">
        <f t="shared" si="25"/>
        <v>Effective</v>
      </c>
      <c r="AC308" s="3" t="str">
        <f t="shared" si="26"/>
        <v>Low</v>
      </c>
      <c r="AD308" s="3">
        <f t="shared" si="27"/>
        <v>1</v>
      </c>
      <c r="AE308" s="3">
        <f t="shared" si="28"/>
        <v>1</v>
      </c>
      <c r="AF308" s="3" t="s">
        <v>59</v>
      </c>
      <c r="AG308" s="3"/>
      <c r="AH308" s="3"/>
      <c r="AI308" s="3"/>
      <c r="AJ308" s="3"/>
      <c r="AK308" s="3"/>
      <c r="AL308" s="3" t="s">
        <v>60</v>
      </c>
      <c r="AM308" s="3" t="str">
        <f t="shared" si="29"/>
        <v>Should Have</v>
      </c>
    </row>
    <row r="309" spans="1:39" ht="362.5" x14ac:dyDescent="0.35">
      <c r="A309" s="4">
        <v>308</v>
      </c>
      <c r="B309" s="3" t="s">
        <v>39</v>
      </c>
      <c r="C309" s="3" t="s">
        <v>3178</v>
      </c>
      <c r="D309" s="3" t="s">
        <v>615</v>
      </c>
      <c r="E309" s="3" t="s">
        <v>3179</v>
      </c>
      <c r="F309" s="3" t="s">
        <v>42</v>
      </c>
      <c r="G309" s="3" t="s">
        <v>2224</v>
      </c>
      <c r="H309" s="3" t="s">
        <v>3180</v>
      </c>
      <c r="I309" s="4" t="s">
        <v>3234</v>
      </c>
      <c r="J309" s="3" t="s">
        <v>3235</v>
      </c>
      <c r="K309" s="3" t="s">
        <v>3236</v>
      </c>
      <c r="L309" s="3" t="s">
        <v>3237</v>
      </c>
      <c r="M309" s="3" t="s">
        <v>3238</v>
      </c>
      <c r="N309" s="3" t="s">
        <v>3239</v>
      </c>
      <c r="O309" s="3" t="s">
        <v>3240</v>
      </c>
      <c r="P309" s="3" t="s">
        <v>51</v>
      </c>
      <c r="Q309" s="3" t="s">
        <v>52</v>
      </c>
      <c r="R309" s="3" t="s">
        <v>154</v>
      </c>
      <c r="S309" s="3" t="s">
        <v>3214</v>
      </c>
      <c r="T309" s="3" t="s">
        <v>108</v>
      </c>
      <c r="U309" s="3" t="s">
        <v>3241</v>
      </c>
      <c r="V309" s="3" t="s">
        <v>3216</v>
      </c>
      <c r="W309" s="3" t="s">
        <v>159</v>
      </c>
      <c r="X309" s="3">
        <f t="shared" si="24"/>
        <v>2</v>
      </c>
      <c r="Y309" s="3" t="s">
        <v>53</v>
      </c>
      <c r="Z309" s="3" t="s">
        <v>53</v>
      </c>
      <c r="AA309" s="3" t="s">
        <v>53</v>
      </c>
      <c r="AB309" s="3" t="str">
        <f t="shared" si="25"/>
        <v>Effective</v>
      </c>
      <c r="AC309" s="3" t="str">
        <f t="shared" si="26"/>
        <v>Low</v>
      </c>
      <c r="AD309" s="3">
        <f t="shared" si="27"/>
        <v>2</v>
      </c>
      <c r="AE309" s="3">
        <f t="shared" si="28"/>
        <v>2</v>
      </c>
      <c r="AF309" s="3" t="s">
        <v>59</v>
      </c>
      <c r="AG309" s="3"/>
      <c r="AH309" s="3"/>
      <c r="AI309" s="3"/>
      <c r="AJ309" s="3"/>
      <c r="AK309" s="3"/>
      <c r="AL309" s="3" t="s">
        <v>60</v>
      </c>
      <c r="AM309" s="3" t="str">
        <f t="shared" si="29"/>
        <v>Should Have</v>
      </c>
    </row>
    <row r="310" spans="1:39" ht="319" x14ac:dyDescent="0.35">
      <c r="A310" s="4">
        <v>309</v>
      </c>
      <c r="B310" s="3" t="s">
        <v>39</v>
      </c>
      <c r="C310" s="3" t="s">
        <v>3178</v>
      </c>
      <c r="D310" s="3" t="s">
        <v>615</v>
      </c>
      <c r="E310" s="3" t="s">
        <v>3179</v>
      </c>
      <c r="F310" s="3" t="s">
        <v>42</v>
      </c>
      <c r="G310" s="3" t="s">
        <v>2224</v>
      </c>
      <c r="H310" s="3" t="s">
        <v>3180</v>
      </c>
      <c r="I310" s="4" t="s">
        <v>3242</v>
      </c>
      <c r="J310" s="3" t="s">
        <v>3243</v>
      </c>
      <c r="K310" s="3" t="s">
        <v>3244</v>
      </c>
      <c r="L310" s="3" t="s">
        <v>3245</v>
      </c>
      <c r="M310" s="3" t="s">
        <v>3246</v>
      </c>
      <c r="N310" s="3" t="s">
        <v>3247</v>
      </c>
      <c r="O310" s="3" t="s">
        <v>3248</v>
      </c>
      <c r="P310" s="3" t="s">
        <v>51</v>
      </c>
      <c r="Q310" s="3" t="s">
        <v>153</v>
      </c>
      <c r="R310" s="3" t="s">
        <v>154</v>
      </c>
      <c r="S310" s="3" t="s">
        <v>3049</v>
      </c>
      <c r="T310" s="3" t="s">
        <v>68</v>
      </c>
      <c r="U310" s="3" t="s">
        <v>3249</v>
      </c>
      <c r="V310" s="3" t="s">
        <v>3206</v>
      </c>
      <c r="W310" s="3" t="s">
        <v>2364</v>
      </c>
      <c r="X310" s="3">
        <f t="shared" si="24"/>
        <v>1</v>
      </c>
      <c r="Y310" s="3" t="s">
        <v>53</v>
      </c>
      <c r="Z310" s="3" t="s">
        <v>53</v>
      </c>
      <c r="AA310" s="3" t="s">
        <v>53</v>
      </c>
      <c r="AB310" s="3" t="str">
        <f t="shared" si="25"/>
        <v>Effective</v>
      </c>
      <c r="AC310" s="3" t="str">
        <f t="shared" si="26"/>
        <v>Low</v>
      </c>
      <c r="AD310" s="3">
        <f t="shared" si="27"/>
        <v>1</v>
      </c>
      <c r="AE310" s="3">
        <f t="shared" si="28"/>
        <v>1</v>
      </c>
      <c r="AF310" s="3" t="s">
        <v>59</v>
      </c>
      <c r="AG310" s="3"/>
      <c r="AH310" s="3"/>
      <c r="AI310" s="3"/>
      <c r="AJ310" s="3"/>
      <c r="AK310" s="3"/>
      <c r="AL310" s="3" t="s">
        <v>60</v>
      </c>
      <c r="AM310" s="3" t="str">
        <f t="shared" si="29"/>
        <v>Should Have</v>
      </c>
    </row>
    <row r="311" spans="1:39" ht="362.5" x14ac:dyDescent="0.35">
      <c r="A311" s="4">
        <v>310</v>
      </c>
      <c r="B311" s="3" t="s">
        <v>39</v>
      </c>
      <c r="C311" s="3" t="s">
        <v>3250</v>
      </c>
      <c r="D311" s="3" t="s">
        <v>1617</v>
      </c>
      <c r="E311" s="3" t="s">
        <v>3251</v>
      </c>
      <c r="F311" s="3" t="s">
        <v>527</v>
      </c>
      <c r="G311" s="3" t="s">
        <v>2224</v>
      </c>
      <c r="H311" s="3" t="s">
        <v>3252</v>
      </c>
      <c r="I311" s="4" t="s">
        <v>3253</v>
      </c>
      <c r="J311" s="3" t="s">
        <v>3254</v>
      </c>
      <c r="K311" s="3" t="s">
        <v>3255</v>
      </c>
      <c r="L311" s="3" t="s">
        <v>3256</v>
      </c>
      <c r="M311" s="3" t="s">
        <v>3257</v>
      </c>
      <c r="N311" s="3" t="s">
        <v>3258</v>
      </c>
      <c r="O311" s="3" t="s">
        <v>3259</v>
      </c>
      <c r="P311" s="3" t="s">
        <v>51</v>
      </c>
      <c r="Q311" s="3" t="s">
        <v>52</v>
      </c>
      <c r="R311" s="3" t="s">
        <v>53</v>
      </c>
      <c r="S311" s="3" t="s">
        <v>3260</v>
      </c>
      <c r="T311" s="3" t="s">
        <v>68</v>
      </c>
      <c r="U311" s="3" t="s">
        <v>3261</v>
      </c>
      <c r="V311" s="3" t="s">
        <v>3262</v>
      </c>
      <c r="W311" s="3" t="s">
        <v>58</v>
      </c>
      <c r="X311" s="3">
        <f t="shared" si="24"/>
        <v>3</v>
      </c>
      <c r="Y311" s="3" t="s">
        <v>53</v>
      </c>
      <c r="Z311" s="3" t="s">
        <v>53</v>
      </c>
      <c r="AA311" s="3" t="s">
        <v>53</v>
      </c>
      <c r="AB311" s="3" t="str">
        <f t="shared" si="25"/>
        <v>Effective</v>
      </c>
      <c r="AC311" s="3" t="str">
        <f t="shared" si="26"/>
        <v>Low</v>
      </c>
      <c r="AD311" s="3">
        <f t="shared" si="27"/>
        <v>3</v>
      </c>
      <c r="AE311" s="3">
        <f t="shared" si="28"/>
        <v>3</v>
      </c>
      <c r="AF311" s="3" t="s">
        <v>59</v>
      </c>
      <c r="AG311" s="3"/>
      <c r="AH311" s="3"/>
      <c r="AI311" s="3"/>
      <c r="AJ311" s="3"/>
      <c r="AK311" s="3"/>
      <c r="AL311" s="3" t="s">
        <v>60</v>
      </c>
      <c r="AM311" s="3" t="str">
        <f t="shared" si="29"/>
        <v>Must Have</v>
      </c>
    </row>
    <row r="312" spans="1:39" ht="319" x14ac:dyDescent="0.35">
      <c r="A312" s="4">
        <v>311</v>
      </c>
      <c r="B312" s="3" t="s">
        <v>39</v>
      </c>
      <c r="C312" s="3" t="s">
        <v>3250</v>
      </c>
      <c r="D312" s="3" t="s">
        <v>1617</v>
      </c>
      <c r="E312" s="3" t="s">
        <v>3251</v>
      </c>
      <c r="F312" s="3" t="s">
        <v>527</v>
      </c>
      <c r="G312" s="3" t="s">
        <v>2224</v>
      </c>
      <c r="H312" s="3" t="s">
        <v>3252</v>
      </c>
      <c r="I312" s="4" t="s">
        <v>3263</v>
      </c>
      <c r="J312" s="3" t="s">
        <v>3264</v>
      </c>
      <c r="K312" s="3" t="s">
        <v>3265</v>
      </c>
      <c r="L312" s="3" t="s">
        <v>3266</v>
      </c>
      <c r="M312" s="3" t="s">
        <v>3267</v>
      </c>
      <c r="N312" s="3" t="s">
        <v>3268</v>
      </c>
      <c r="O312" s="3" t="s">
        <v>3269</v>
      </c>
      <c r="P312" s="3" t="s">
        <v>51</v>
      </c>
      <c r="Q312" s="3" t="s">
        <v>52</v>
      </c>
      <c r="R312" s="3" t="s">
        <v>53</v>
      </c>
      <c r="S312" s="3" t="s">
        <v>3270</v>
      </c>
      <c r="T312" s="3" t="s">
        <v>68</v>
      </c>
      <c r="U312" s="3" t="s">
        <v>3271</v>
      </c>
      <c r="V312" s="3" t="s">
        <v>3272</v>
      </c>
      <c r="W312" s="3" t="s">
        <v>58</v>
      </c>
      <c r="X312" s="3">
        <f t="shared" si="24"/>
        <v>3</v>
      </c>
      <c r="Y312" s="3" t="s">
        <v>53</v>
      </c>
      <c r="Z312" s="3" t="s">
        <v>53</v>
      </c>
      <c r="AA312" s="3" t="s">
        <v>53</v>
      </c>
      <c r="AB312" s="3" t="str">
        <f t="shared" si="25"/>
        <v>Effective</v>
      </c>
      <c r="AC312" s="3" t="str">
        <f t="shared" si="26"/>
        <v>Low</v>
      </c>
      <c r="AD312" s="3">
        <f t="shared" si="27"/>
        <v>3</v>
      </c>
      <c r="AE312" s="3">
        <f t="shared" si="28"/>
        <v>3</v>
      </c>
      <c r="AF312" s="3" t="s">
        <v>59</v>
      </c>
      <c r="AG312" s="3"/>
      <c r="AH312" s="3"/>
      <c r="AI312" s="3"/>
      <c r="AJ312" s="3"/>
      <c r="AK312" s="3"/>
      <c r="AL312" s="3" t="s">
        <v>60</v>
      </c>
      <c r="AM312" s="3" t="str">
        <f t="shared" si="29"/>
        <v>Must Have</v>
      </c>
    </row>
    <row r="313" spans="1:39" ht="333.5" x14ac:dyDescent="0.35">
      <c r="A313" s="4">
        <v>312</v>
      </c>
      <c r="B313" s="3" t="s">
        <v>39</v>
      </c>
      <c r="C313" s="3" t="s">
        <v>3250</v>
      </c>
      <c r="D313" s="3" t="s">
        <v>1617</v>
      </c>
      <c r="E313" s="3" t="s">
        <v>3251</v>
      </c>
      <c r="F313" s="3" t="s">
        <v>527</v>
      </c>
      <c r="G313" s="3" t="s">
        <v>2224</v>
      </c>
      <c r="H313" s="3" t="s">
        <v>3252</v>
      </c>
      <c r="I313" s="4" t="s">
        <v>3273</v>
      </c>
      <c r="J313" s="3" t="s">
        <v>3274</v>
      </c>
      <c r="K313" s="3" t="s">
        <v>3275</v>
      </c>
      <c r="L313" s="3" t="s">
        <v>3276</v>
      </c>
      <c r="M313" s="3" t="s">
        <v>3277</v>
      </c>
      <c r="N313" s="3" t="s">
        <v>3278</v>
      </c>
      <c r="O313" s="3" t="s">
        <v>3279</v>
      </c>
      <c r="P313" s="3" t="s">
        <v>51</v>
      </c>
      <c r="Q313" s="3" t="s">
        <v>52</v>
      </c>
      <c r="R313" s="3" t="s">
        <v>154</v>
      </c>
      <c r="S313" s="3" t="s">
        <v>3280</v>
      </c>
      <c r="T313" s="3" t="s">
        <v>108</v>
      </c>
      <c r="U313" s="3" t="s">
        <v>3281</v>
      </c>
      <c r="V313" s="3" t="s">
        <v>3282</v>
      </c>
      <c r="W313" s="3" t="s">
        <v>159</v>
      </c>
      <c r="X313" s="3">
        <f t="shared" si="24"/>
        <v>2</v>
      </c>
      <c r="Y313" s="3" t="s">
        <v>53</v>
      </c>
      <c r="Z313" s="3" t="s">
        <v>53</v>
      </c>
      <c r="AA313" s="3" t="s">
        <v>53</v>
      </c>
      <c r="AB313" s="3" t="str">
        <f t="shared" si="25"/>
        <v>Effective</v>
      </c>
      <c r="AC313" s="3" t="str">
        <f t="shared" si="26"/>
        <v>Low</v>
      </c>
      <c r="AD313" s="3">
        <f t="shared" si="27"/>
        <v>2</v>
      </c>
      <c r="AE313" s="3">
        <f t="shared" si="28"/>
        <v>2</v>
      </c>
      <c r="AF313" s="3" t="s">
        <v>59</v>
      </c>
      <c r="AG313" s="3"/>
      <c r="AH313" s="3"/>
      <c r="AI313" s="3"/>
      <c r="AJ313" s="3"/>
      <c r="AK313" s="3"/>
      <c r="AL313" s="3" t="s">
        <v>60</v>
      </c>
      <c r="AM313" s="3" t="str">
        <f t="shared" si="29"/>
        <v>Should Have</v>
      </c>
    </row>
    <row r="314" spans="1:39" ht="333.5" x14ac:dyDescent="0.35">
      <c r="A314" s="4">
        <v>313</v>
      </c>
      <c r="B314" s="3" t="s">
        <v>39</v>
      </c>
      <c r="C314" s="3" t="s">
        <v>3250</v>
      </c>
      <c r="D314" s="3" t="s">
        <v>1617</v>
      </c>
      <c r="E314" s="3" t="s">
        <v>3251</v>
      </c>
      <c r="F314" s="3" t="s">
        <v>527</v>
      </c>
      <c r="G314" s="3" t="s">
        <v>2224</v>
      </c>
      <c r="H314" s="3" t="s">
        <v>3252</v>
      </c>
      <c r="I314" s="4" t="s">
        <v>3283</v>
      </c>
      <c r="J314" s="3" t="s">
        <v>3284</v>
      </c>
      <c r="K314" s="3" t="s">
        <v>3285</v>
      </c>
      <c r="L314" s="3" t="s">
        <v>3286</v>
      </c>
      <c r="M314" s="3" t="s">
        <v>3287</v>
      </c>
      <c r="N314" s="3" t="s">
        <v>3288</v>
      </c>
      <c r="O314" s="3" t="s">
        <v>3289</v>
      </c>
      <c r="P314" s="3" t="s">
        <v>51</v>
      </c>
      <c r="Q314" s="3" t="s">
        <v>52</v>
      </c>
      <c r="R314" s="3" t="s">
        <v>154</v>
      </c>
      <c r="S314" s="3" t="s">
        <v>1798</v>
      </c>
      <c r="T314" s="3" t="s">
        <v>68</v>
      </c>
      <c r="U314" s="3" t="s">
        <v>3290</v>
      </c>
      <c r="V314" s="3" t="s">
        <v>1800</v>
      </c>
      <c r="W314" s="3" t="s">
        <v>58</v>
      </c>
      <c r="X314" s="3">
        <f t="shared" si="24"/>
        <v>3</v>
      </c>
      <c r="Y314" s="3" t="s">
        <v>53</v>
      </c>
      <c r="Z314" s="3" t="s">
        <v>53</v>
      </c>
      <c r="AA314" s="3" t="s">
        <v>53</v>
      </c>
      <c r="AB314" s="3" t="str">
        <f t="shared" si="25"/>
        <v>Effective</v>
      </c>
      <c r="AC314" s="3" t="str">
        <f t="shared" si="26"/>
        <v>Low</v>
      </c>
      <c r="AD314" s="3">
        <f t="shared" si="27"/>
        <v>3</v>
      </c>
      <c r="AE314" s="3">
        <f t="shared" si="28"/>
        <v>3</v>
      </c>
      <c r="AF314" s="3" t="s">
        <v>59</v>
      </c>
      <c r="AG314" s="3"/>
      <c r="AH314" s="3"/>
      <c r="AI314" s="3"/>
      <c r="AJ314" s="3"/>
      <c r="AK314" s="3"/>
      <c r="AL314" s="3" t="s">
        <v>60</v>
      </c>
      <c r="AM314" s="3" t="str">
        <f t="shared" si="29"/>
        <v>Should Have</v>
      </c>
    </row>
    <row r="315" spans="1:39" ht="348" x14ac:dyDescent="0.35">
      <c r="A315" s="4">
        <v>314</v>
      </c>
      <c r="B315" s="3" t="s">
        <v>39</v>
      </c>
      <c r="C315" s="3" t="s">
        <v>3250</v>
      </c>
      <c r="D315" s="3" t="s">
        <v>1617</v>
      </c>
      <c r="E315" s="3" t="s">
        <v>3251</v>
      </c>
      <c r="F315" s="3" t="s">
        <v>527</v>
      </c>
      <c r="G315" s="3" t="s">
        <v>2224</v>
      </c>
      <c r="H315" s="3" t="s">
        <v>3252</v>
      </c>
      <c r="I315" s="4" t="s">
        <v>3291</v>
      </c>
      <c r="J315" s="3" t="s">
        <v>3292</v>
      </c>
      <c r="K315" s="3" t="s">
        <v>3293</v>
      </c>
      <c r="L315" s="3" t="s">
        <v>3294</v>
      </c>
      <c r="M315" s="3" t="s">
        <v>3295</v>
      </c>
      <c r="N315" s="3" t="s">
        <v>3296</v>
      </c>
      <c r="O315" s="3" t="s">
        <v>3297</v>
      </c>
      <c r="P315" s="3" t="s">
        <v>51</v>
      </c>
      <c r="Q315" s="3" t="s">
        <v>52</v>
      </c>
      <c r="R315" s="3" t="s">
        <v>53</v>
      </c>
      <c r="S315" s="3" t="s">
        <v>3298</v>
      </c>
      <c r="T315" s="3" t="s">
        <v>68</v>
      </c>
      <c r="U315" s="3" t="s">
        <v>3299</v>
      </c>
      <c r="V315" s="3" t="s">
        <v>3300</v>
      </c>
      <c r="W315" s="3" t="s">
        <v>58</v>
      </c>
      <c r="X315" s="3">
        <f t="shared" si="24"/>
        <v>3</v>
      </c>
      <c r="Y315" s="3" t="s">
        <v>53</v>
      </c>
      <c r="Z315" s="3" t="s">
        <v>53</v>
      </c>
      <c r="AA315" s="3" t="s">
        <v>53</v>
      </c>
      <c r="AB315" s="3" t="str">
        <f t="shared" si="25"/>
        <v>Effective</v>
      </c>
      <c r="AC315" s="3" t="str">
        <f t="shared" si="26"/>
        <v>Low</v>
      </c>
      <c r="AD315" s="3">
        <f t="shared" si="27"/>
        <v>3</v>
      </c>
      <c r="AE315" s="3">
        <f t="shared" si="28"/>
        <v>3</v>
      </c>
      <c r="AF315" s="3" t="s">
        <v>59</v>
      </c>
      <c r="AG315" s="3"/>
      <c r="AH315" s="3"/>
      <c r="AI315" s="3"/>
      <c r="AJ315" s="3"/>
      <c r="AK315" s="3"/>
      <c r="AL315" s="3" t="s">
        <v>60</v>
      </c>
      <c r="AM315" s="3" t="str">
        <f t="shared" si="29"/>
        <v>Must Have</v>
      </c>
    </row>
    <row r="316" spans="1:39" ht="348" x14ac:dyDescent="0.35">
      <c r="A316" s="4">
        <v>315</v>
      </c>
      <c r="B316" s="3" t="s">
        <v>39</v>
      </c>
      <c r="C316" s="3" t="s">
        <v>3250</v>
      </c>
      <c r="D316" s="3" t="s">
        <v>1617</v>
      </c>
      <c r="E316" s="3" t="s">
        <v>3251</v>
      </c>
      <c r="F316" s="3" t="s">
        <v>527</v>
      </c>
      <c r="G316" s="3" t="s">
        <v>2224</v>
      </c>
      <c r="H316" s="3" t="s">
        <v>3252</v>
      </c>
      <c r="I316" s="4" t="s">
        <v>3301</v>
      </c>
      <c r="J316" s="3" t="s">
        <v>3302</v>
      </c>
      <c r="K316" s="3" t="s">
        <v>3303</v>
      </c>
      <c r="L316" s="3" t="s">
        <v>3304</v>
      </c>
      <c r="M316" s="3" t="s">
        <v>3305</v>
      </c>
      <c r="N316" s="3" t="s">
        <v>3306</v>
      </c>
      <c r="O316" s="3" t="s">
        <v>3307</v>
      </c>
      <c r="P316" s="3" t="s">
        <v>51</v>
      </c>
      <c r="Q316" s="3" t="s">
        <v>52</v>
      </c>
      <c r="R316" s="3" t="s">
        <v>53</v>
      </c>
      <c r="S316" s="3" t="s">
        <v>1798</v>
      </c>
      <c r="T316" s="3" t="s">
        <v>108</v>
      </c>
      <c r="U316" s="3" t="s">
        <v>3308</v>
      </c>
      <c r="V316" s="3" t="s">
        <v>3309</v>
      </c>
      <c r="W316" s="3" t="s">
        <v>58</v>
      </c>
      <c r="X316" s="3">
        <f t="shared" si="24"/>
        <v>3</v>
      </c>
      <c r="Y316" s="3" t="s">
        <v>53</v>
      </c>
      <c r="Z316" s="3" t="s">
        <v>53</v>
      </c>
      <c r="AA316" s="3" t="s">
        <v>53</v>
      </c>
      <c r="AB316" s="3" t="str">
        <f t="shared" si="25"/>
        <v>Effective</v>
      </c>
      <c r="AC316" s="3" t="str">
        <f t="shared" si="26"/>
        <v>Low</v>
      </c>
      <c r="AD316" s="3">
        <f t="shared" si="27"/>
        <v>3</v>
      </c>
      <c r="AE316" s="3">
        <f t="shared" si="28"/>
        <v>3</v>
      </c>
      <c r="AF316" s="3" t="s">
        <v>59</v>
      </c>
      <c r="AG316" s="3"/>
      <c r="AH316" s="3"/>
      <c r="AI316" s="3"/>
      <c r="AJ316" s="3"/>
      <c r="AK316" s="3"/>
      <c r="AL316" s="3" t="s">
        <v>60</v>
      </c>
      <c r="AM316" s="3" t="str">
        <f t="shared" si="29"/>
        <v>Must Have</v>
      </c>
    </row>
    <row r="317" spans="1:39" ht="362.5" x14ac:dyDescent="0.35">
      <c r="A317" s="4">
        <v>316</v>
      </c>
      <c r="B317" s="3" t="s">
        <v>39</v>
      </c>
      <c r="C317" s="3" t="s">
        <v>3250</v>
      </c>
      <c r="D317" s="3" t="s">
        <v>1617</v>
      </c>
      <c r="E317" s="3" t="s">
        <v>3251</v>
      </c>
      <c r="F317" s="3" t="s">
        <v>527</v>
      </c>
      <c r="G317" s="3" t="s">
        <v>2224</v>
      </c>
      <c r="H317" s="3" t="s">
        <v>3252</v>
      </c>
      <c r="I317" s="4" t="s">
        <v>3310</v>
      </c>
      <c r="J317" s="3" t="s">
        <v>3311</v>
      </c>
      <c r="K317" s="3" t="s">
        <v>3312</v>
      </c>
      <c r="L317" s="3" t="s">
        <v>3313</v>
      </c>
      <c r="M317" s="3" t="s">
        <v>3314</v>
      </c>
      <c r="N317" s="3" t="s">
        <v>3315</v>
      </c>
      <c r="O317" s="3" t="s">
        <v>3316</v>
      </c>
      <c r="P317" s="3" t="s">
        <v>51</v>
      </c>
      <c r="Q317" s="3" t="s">
        <v>52</v>
      </c>
      <c r="R317" s="3" t="s">
        <v>154</v>
      </c>
      <c r="S317" s="3" t="s">
        <v>3317</v>
      </c>
      <c r="T317" s="3" t="s">
        <v>68</v>
      </c>
      <c r="U317" s="3" t="s">
        <v>3318</v>
      </c>
      <c r="V317" s="3" t="s">
        <v>3319</v>
      </c>
      <c r="W317" s="3" t="s">
        <v>159</v>
      </c>
      <c r="X317" s="3">
        <f t="shared" si="24"/>
        <v>2</v>
      </c>
      <c r="Y317" s="3" t="s">
        <v>53</v>
      </c>
      <c r="Z317" s="3" t="s">
        <v>53</v>
      </c>
      <c r="AA317" s="3" t="s">
        <v>53</v>
      </c>
      <c r="AB317" s="3" t="str">
        <f t="shared" si="25"/>
        <v>Effective</v>
      </c>
      <c r="AC317" s="3" t="str">
        <f t="shared" si="26"/>
        <v>Low</v>
      </c>
      <c r="AD317" s="3">
        <f t="shared" si="27"/>
        <v>2</v>
      </c>
      <c r="AE317" s="3">
        <f t="shared" si="28"/>
        <v>2</v>
      </c>
      <c r="AF317" s="3" t="s">
        <v>59</v>
      </c>
      <c r="AG317" s="3"/>
      <c r="AH317" s="3"/>
      <c r="AI317" s="3"/>
      <c r="AJ317" s="3"/>
      <c r="AK317" s="3"/>
      <c r="AL317" s="3" t="s">
        <v>60</v>
      </c>
      <c r="AM317" s="3" t="str">
        <f t="shared" si="29"/>
        <v>Should Have</v>
      </c>
    </row>
  </sheetData>
  <autoFilter ref="A1:AM317" xr:uid="{20A14754-ED2A-4836-854E-3C6690A3838A}">
    <filterColumn colId="6">
      <filters>
        <filter val="CERT-In Audit Policy Guidelines / CERT-In Directions Apr 2022"/>
        <filter val="CERT-In Audit Policy Guidelines / CSA CCM"/>
        <filter val="CERT-In Audit Policy Guidelines / ISO 27001:2022"/>
        <filter val="CERT-In Audit Policy Guidelines / IT Act 2000 S.70B"/>
        <filter val="CERT-In Audit Policy Guidelines / OWASP MSTG"/>
        <filter val="CERT-In Audit Policy Guidelines / RBI IT Governance"/>
        <filter val="CERT-In Comprehensive Cyber Security Audit Policy Guidelines v1.0 (Jul 2025)"/>
        <filter val="ISO/IEC 27001:2022"/>
        <filter val="IT Act 2000 (as amended)"/>
        <filter val="RBI Circular DBS.CO.ITC.BC.No.6/31.02.008/2010-11 (Gopalakrishna Committee Guidelines)"/>
        <filter val="RBI Cyber Security Framework for Banks"/>
        <filter val="RBI- ITGRC"/>
      </filters>
    </filterColumn>
  </autoFilter>
  <conditionalFormatting sqref="K1:K1048576">
    <cfRule type="duplicateValues" dxfId="8" priority="10"/>
  </conditionalFormatting>
  <conditionalFormatting sqref="L1:L1048576">
    <cfRule type="duplicateValues" dxfId="7" priority="9"/>
  </conditionalFormatting>
  <conditionalFormatting sqref="M1:M1048576">
    <cfRule type="duplicateValues" dxfId="6" priority="2"/>
    <cfRule type="duplicateValues" dxfId="5" priority="3"/>
  </conditionalFormatting>
  <conditionalFormatting sqref="N1:N1048576">
    <cfRule type="duplicateValues" dxfId="4" priority="7"/>
    <cfRule type="duplicateValues" dxfId="3" priority="8"/>
  </conditionalFormatting>
  <conditionalFormatting sqref="O1:O1048576">
    <cfRule type="duplicateValues" dxfId="2" priority="5"/>
    <cfRule type="duplicateValues" dxfId="1" priority="6"/>
  </conditionalFormatting>
  <conditionalFormatting sqref="V1:V1048576">
    <cfRule type="duplicateValues" dxfId="0" priority="4"/>
  </conditionalFormatting>
  <dataValidations count="7">
    <dataValidation type="list" allowBlank="1" sqref="F2:F1000" xr:uid="{00000000-0002-0000-0000-000000000000}">
      <formula1>"Process,Technical,Compliance"</formula1>
      <formula2>0</formula2>
    </dataValidation>
    <dataValidation type="list" allowBlank="1" sqref="P2:P1000" xr:uid="{00000000-0002-0000-0000-000001000000}">
      <formula1>"Auto,Manual,Semi-Auto"</formula1>
      <formula2>0</formula2>
    </dataValidation>
    <dataValidation type="list" allowBlank="1" sqref="Q2:Q1000" xr:uid="{00000000-0002-0000-0000-000002000000}">
      <formula1>"Preventive,Detective,Corrective"</formula1>
      <formula2>0</formula2>
    </dataValidation>
    <dataValidation type="list" allowBlank="1" sqref="R2:R1000 Y2:Z1000" xr:uid="{00000000-0002-0000-0000-000003000000}">
      <formula1>"Y,N"</formula1>
      <formula2>0</formula2>
    </dataValidation>
    <dataValidation type="list" allowBlank="1" sqref="W2:W1000" xr:uid="{00000000-0002-0000-0000-000004000000}">
      <formula1>"Critical,High,Medium,Low"</formula1>
      <formula2>0</formula2>
    </dataValidation>
    <dataValidation type="list" allowBlank="1" sqref="AA2:AA1000" xr:uid="{00000000-0002-0000-0000-000005000000}">
      <formula1>"Y,P,N,NA"</formula1>
      <formula2>0</formula2>
    </dataValidation>
    <dataValidation type="list" allowBlank="1" sqref="AF2:AF1000" xr:uid="{00000000-0002-0000-0000-000006000000}">
      <formula1>"Open,In Progress,Closed"</formula1>
      <formula2>0</formula2>
    </dataValidation>
  </dataValidations>
  <pageMargins left="0.75" right="0.75" top="1" bottom="1" header="0.511811023622047" footer="0.511811023622047"/>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Template/>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Master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openpyxl</dc:creator>
  <dc:description/>
  <cp:lastModifiedBy>sandhiya c</cp:lastModifiedBy>
  <cp:revision>0</cp:revision>
  <dcterms:created xsi:type="dcterms:W3CDTF">2026-07-02T06:43:42Z</dcterms:created>
  <dcterms:modified xsi:type="dcterms:W3CDTF">2026-07-23T13:19:46Z</dcterms:modified>
  <dc:language>en-US</dc:language>
</cp:coreProperties>
</file>